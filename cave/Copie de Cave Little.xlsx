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ve détaillée" sheetId="1" r:id="rId3"/>
    <sheet state="visible" name="Rangement" sheetId="2" r:id="rId4"/>
    <sheet state="hidden" name="A Acheter" sheetId="3" r:id="rId5"/>
  </sheets>
  <definedNames/>
  <calcPr/>
</workbook>
</file>

<file path=xl/sharedStrings.xml><?xml version="1.0" encoding="utf-8"?>
<sst xmlns="http://schemas.openxmlformats.org/spreadsheetml/2006/main" count="3635" uniqueCount="1533">
  <si>
    <t>Domaine</t>
  </si>
  <si>
    <t>Millésime</t>
  </si>
  <si>
    <t>Appellation</t>
  </si>
  <si>
    <t>Désignation</t>
  </si>
  <si>
    <t>Cru</t>
  </si>
  <si>
    <t>Type</t>
  </si>
  <si>
    <t>Région</t>
  </si>
  <si>
    <t>Cépage principal</t>
  </si>
  <si>
    <t>Début apogée</t>
  </si>
  <si>
    <t>Fin apogée</t>
  </si>
  <si>
    <t>Note</t>
  </si>
  <si>
    <t>Prix achat</t>
  </si>
  <si>
    <t>Lieu Achat</t>
  </si>
  <si>
    <t>Date Achat</t>
  </si>
  <si>
    <t>Nombre</t>
  </si>
  <si>
    <t>CA Connu</t>
  </si>
  <si>
    <t>Date dégustation</t>
  </si>
  <si>
    <t>Ma Note</t>
  </si>
  <si>
    <t>Commentaire</t>
  </si>
  <si>
    <t>Cave de Ribeauville</t>
  </si>
  <si>
    <t>Alsace Pinot Gris</t>
  </si>
  <si>
    <t>Tokay Pinot gris de Bergheim</t>
  </si>
  <si>
    <t>Blanc</t>
  </si>
  <si>
    <t>Alsace</t>
  </si>
  <si>
    <t>Pinot Gris</t>
  </si>
  <si>
    <t>Cadeau Faz</t>
  </si>
  <si>
    <t>Tout seul pour avancer la cave vu que je suis seul a aimer ce type de vin. Plus très fruité, plutôt sur le miel. C'est pas mal mais pas à ouvrir avec Cécile ou des amis</t>
  </si>
  <si>
    <t>Bodegas Faustino</t>
  </si>
  <si>
    <t>Rioja Gran Reserva</t>
  </si>
  <si>
    <t>Rouge</t>
  </si>
  <si>
    <t>Rioja</t>
  </si>
  <si>
    <t>Tempranillo</t>
  </si>
  <si>
    <t>Espagne</t>
  </si>
  <si>
    <t>Avec Mika/Marine/Nico/Cécile, soirée oenologie. Très bon avec roti de boeuf. Pas grande longueur en bouche mais très bon nez et goût fruité. Carafé. Mika l'a préféré à son vin</t>
  </si>
  <si>
    <t>Alsace Grand Cru</t>
  </si>
  <si>
    <t>Tokay Pinot gros 'Gloeckelberg'</t>
  </si>
  <si>
    <t>Grand cru</t>
  </si>
  <si>
    <t>Pendant que Cécile était en Italie, puis ensuite proposé à Nico et Vangélis. Correct car un peu acide et un peu miel. Ca passe bien à l'apéro</t>
  </si>
  <si>
    <t>Domaine Eugène Meyer</t>
  </si>
  <si>
    <t>Spiegel Vendanges Tardives</t>
  </si>
  <si>
    <t>Blanc moelleux</t>
  </si>
  <si>
    <t>Riesling</t>
  </si>
  <si>
    <t>Cadeau Durin</t>
  </si>
  <si>
    <t>Château Cajus</t>
  </si>
  <si>
    <t>Bordeaux</t>
  </si>
  <si>
    <t>Fleur de Cajus</t>
  </si>
  <si>
    <t>Merlot, Cabernet Sauvignon, Cabernet Franc</t>
  </si>
  <si>
    <t>Salon du Bio</t>
  </si>
  <si>
    <t>14/11/2023
20/12/2023</t>
  </si>
  <si>
    <t>3
3,5</t>
  </si>
  <si>
    <t>Je trouve qu'il est passé. Mes parents l'ont plutôt bien aimé étrangement.
Tout seul. Il n'a pas tourné comme le précédent. J'aime bien, mais pas exceptionnel non plus.</t>
  </si>
  <si>
    <t>Fricot Marbella-Dubost</t>
  </si>
  <si>
    <t>Champagne</t>
  </si>
  <si>
    <t>M de Marianne</t>
  </si>
  <si>
    <t>Blanc effervescent</t>
  </si>
  <si>
    <t>Marché</t>
  </si>
  <si>
    <t>Crémaillère et annonce fillancailles. Un peu déçu car goût un peu trop prononcé donc écoeurant.</t>
  </si>
  <si>
    <t>Cloas Segransan</t>
  </si>
  <si>
    <t>Graves de Vayres</t>
  </si>
  <si>
    <t>Merlot, Cabernet Franc, Cabernet Sauvignon</t>
  </si>
  <si>
    <t>Très correct surtout vu le prix. Le millésime 2014 bu quelques jours après m'a parru avoir un peu plus de longueur</t>
  </si>
  <si>
    <t>Granducato</t>
  </si>
  <si>
    <t>Chianti Classico</t>
  </si>
  <si>
    <t>Riserva</t>
  </si>
  <si>
    <t>Toscane</t>
  </si>
  <si>
    <t>Sangiovese, Canaiolo</t>
  </si>
  <si>
    <t>Soirée Oenologie MIka Isa Cécile. Très bon selon tout le monde</t>
  </si>
  <si>
    <t>Banceilles</t>
  </si>
  <si>
    <t>Vin de Pays de Corrèze</t>
  </si>
  <si>
    <t>1001 Pierres - Le champ du clos</t>
  </si>
  <si>
    <t>Cuvée spéciale</t>
  </si>
  <si>
    <t>Sud Ouest</t>
  </si>
  <si>
    <t>15/02/2020
21/11/2020</t>
  </si>
  <si>
    <t>09/10/2020
28/11/2021</t>
  </si>
  <si>
    <t>3,5
3,5</t>
  </si>
  <si>
    <t>Pas mal du tout. J'avais un souvenir d'un vin plus prononcé avec un doute sur le fait que je l'aime. FInalement, il n'est pas si fort que ça en alcool et passe bien
Vin très correct surtout ouvert longtemps avant</t>
  </si>
  <si>
    <t>Melini</t>
  </si>
  <si>
    <t>Vigneti La Selvanella</t>
  </si>
  <si>
    <t>Sangiovese (Brunello), Canaiolo</t>
  </si>
  <si>
    <t>Aéroport</t>
  </si>
  <si>
    <t>Soirée chez Mika avec Cécile. Trop léger, goût d'eau et rien ne reste en bouche sauf un petit goût amer et astreingeant</t>
  </si>
  <si>
    <t>l'Amiral</t>
  </si>
  <si>
    <t>Minervois</t>
  </si>
  <si>
    <t>Cuvée Prestige</t>
  </si>
  <si>
    <t>Languedoc Roussillon</t>
  </si>
  <si>
    <t>Grenache, Carignan vieilles vignes</t>
  </si>
  <si>
    <t>Avec Elodie et Ronan. J'ai bien aimé mais j'avais l'impression d'un léger pétillant. Peut-être à laisser décanter avant vu l'année</t>
  </si>
  <si>
    <t>Pays d'Oc - Marselan</t>
  </si>
  <si>
    <t>Le voyage de l'Amiral</t>
  </si>
  <si>
    <t>Marselan</t>
  </si>
  <si>
    <t>Avec Anne-Laure et Greg. Sur des pates à l'arabiata. Goût de figue et fruit confit très prononcé. J'ai aimé. Cécile a adoré. Les invités je ne pense pas</t>
  </si>
  <si>
    <t>Les Jamelles</t>
  </si>
  <si>
    <t>Vin de Pays d'Oc</t>
  </si>
  <si>
    <t>Chardonnay</t>
  </si>
  <si>
    <t>Nicolas</t>
  </si>
  <si>
    <t>Chez moi avec Cécile et Mel. Correct, sans plus</t>
  </si>
  <si>
    <t>1001 Pierres</t>
  </si>
  <si>
    <t>Corrèze</t>
  </si>
  <si>
    <t>Le Champ du Clos</t>
  </si>
  <si>
    <t>Producteur</t>
  </si>
  <si>
    <t>Baron de Ley</t>
  </si>
  <si>
    <t>Finca Monasterio</t>
  </si>
  <si>
    <t>Un cran au dessus du 2012. Je peux en racheter au marché car vu le prix il est vraiment pas mal. Il peut peut être vieillir encore un peu</t>
  </si>
  <si>
    <t>Marqués de Caceres</t>
  </si>
  <si>
    <t>Rioja Reserva</t>
  </si>
  <si>
    <t>Grand Reserva</t>
  </si>
  <si>
    <t>12/04/2024
01/08/2025</t>
  </si>
  <si>
    <t>3,5
4</t>
  </si>
  <si>
    <t>Avec Nico et Vangelis. J'ai bien aimé, mais pas le lendemain malgré le bouchon vide d'air, il semble avoir tourné
Avec Nico et Mika. Correct mais pas fou non plus pour moi. Mais Mika a beaucoup aimé</t>
  </si>
  <si>
    <t>Marqués de Riscal</t>
  </si>
  <si>
    <t xml:space="preserve">
</t>
  </si>
  <si>
    <t>Domaine de la Clapière</t>
  </si>
  <si>
    <t>Jardin de Jules</t>
  </si>
  <si>
    <t>Syrah, Cabernet Sauvignon, Merlot</t>
  </si>
  <si>
    <t>Etrange. Acidité trop prononcé et pas de corps. Ne pas racheter.</t>
  </si>
  <si>
    <t>Luc Faller</t>
  </si>
  <si>
    <t>Riesling Vendanges Tardives</t>
  </si>
  <si>
    <t>Cuvée Matthias</t>
  </si>
  <si>
    <t>Salon</t>
  </si>
  <si>
    <t>Pour le nouvel avec avec Chouch Mag Nico et Cécile. J'ai beaucoup aimé mais je pense être le seul</t>
  </si>
  <si>
    <t>Batasiolo</t>
  </si>
  <si>
    <t>Barolo</t>
  </si>
  <si>
    <t>Piémont</t>
  </si>
  <si>
    <t>Nebbiolo</t>
  </si>
  <si>
    <t>Avec Nico et Mika. Moi j'ai été légèrement déçu mais Mika a beaucoup aimé</t>
  </si>
  <si>
    <t>Château de Davenay</t>
  </si>
  <si>
    <t>Montagny</t>
  </si>
  <si>
    <t>Clos Chaudron</t>
  </si>
  <si>
    <t>1er cru</t>
  </si>
  <si>
    <t>Bourgogne</t>
  </si>
  <si>
    <t>Vente-Privée</t>
  </si>
  <si>
    <t>04/05/2019
02/03/2020
04/08/2021</t>
  </si>
  <si>
    <t>4
4
3,5</t>
  </si>
  <si>
    <t>Soirée Mikie, Cécile. Très bon même si une préférence pour le saint aubin
A la maison avec Cécile. Il est puissant mais j'aime vraiment bien, surtout à ce prix
Avec Cécile. Moins aimé que les précédentes fois. Pas mal mais un peu trop sec et pas assez fruité à mon goût/</t>
  </si>
  <si>
    <t>Château du Galoupet</t>
  </si>
  <si>
    <t>Côtes de Provence</t>
  </si>
  <si>
    <t>Cuvée Equipage</t>
  </si>
  <si>
    <t>Cru classé</t>
  </si>
  <si>
    <t>Provence</t>
  </si>
  <si>
    <t>Syrah, Grenache Noir, Cabernet Sauvignon</t>
  </si>
  <si>
    <t>Auchan</t>
  </si>
  <si>
    <t>13/04/2019
21/12/2019</t>
  </si>
  <si>
    <t>4
4</t>
  </si>
  <si>
    <t>"Crémaillère" Claire. Vraiment pas mal. Tanique. Chouch a adoré
Soirée chez Jay avec Vaness et Vinvin. Toujours très bien</t>
  </si>
  <si>
    <t>Dampt Frères</t>
  </si>
  <si>
    <t>Petit Chablis</t>
  </si>
  <si>
    <t>Vieilles Vignes</t>
  </si>
  <si>
    <t>Super U</t>
  </si>
  <si>
    <t>14/02/2019
23/02/2019</t>
  </si>
  <si>
    <t>Saint Valentin. Bon mais avec plus de corps dans mon souvenir
Soirée révélation. Toujours bon</t>
  </si>
  <si>
    <t>Santa Margherita</t>
  </si>
  <si>
    <t>Famille Perrin</t>
  </si>
  <si>
    <t>Vinsobres</t>
  </si>
  <si>
    <t>Les Cornuds</t>
  </si>
  <si>
    <t>Vallée du Rhône</t>
  </si>
  <si>
    <t>Grenache Noir, Syrah, Cinsault</t>
  </si>
  <si>
    <t>Monoprix</t>
  </si>
  <si>
    <t>01/02/2019
10/02/2019
27/04/2019</t>
  </si>
  <si>
    <t>3
2,5
2,5</t>
  </si>
  <si>
    <t>Avec Parents Cécile. Pas mauvais mais un peu trop âpre sur la fin
Brunch Véro/Jay. Toujours pas super. Vin de table
Crémaillère cousin de Cécile. Toujours pas super.</t>
  </si>
  <si>
    <t>Fournier Pere &amp; Fils</t>
  </si>
  <si>
    <t>Sancerre</t>
  </si>
  <si>
    <t>Les Caillottes</t>
  </si>
  <si>
    <t>Val de Loire et Centre</t>
  </si>
  <si>
    <t>Sauvignon Blanc</t>
  </si>
  <si>
    <t>Veepee</t>
  </si>
  <si>
    <t>Bu avec Mika et Marine à l'apéro. Mika a beaucoup aimé.</t>
  </si>
  <si>
    <t>La Chaudouillonne</t>
  </si>
  <si>
    <t>Grande cuvée</t>
  </si>
  <si>
    <t>Avec Jess et Mathieur. Déroutant car boisé mais très bon</t>
  </si>
  <si>
    <t>Richard Meyran</t>
  </si>
  <si>
    <t>Suresnes</t>
  </si>
  <si>
    <t>Avec Mika. Vin atypique non filtré. Pas mal</t>
  </si>
  <si>
    <t>Casa Ferreirinha</t>
  </si>
  <si>
    <t>Douro</t>
  </si>
  <si>
    <t>Planalto</t>
  </si>
  <si>
    <t>Vallée de Douro</t>
  </si>
  <si>
    <t>Viosinho, Malvasia Fina, Gouveio, Códega, Arinto, Rabigato, Moscatel</t>
  </si>
  <si>
    <t>Epicerie</t>
  </si>
  <si>
    <t>18/05/2019
09/11/2019</t>
  </si>
  <si>
    <t>Chez Mickie/Alex. Bon vin blanc sec. Meilleur très frais.
Anniv Rafie avec ses copains. Très frais, donc passe bien. Super rapport qualité prix</t>
  </si>
  <si>
    <t>Château Lagrézette</t>
  </si>
  <si>
    <t>Côtes du Lot</t>
  </si>
  <si>
    <t>Merveille Rocamadour</t>
  </si>
  <si>
    <t>Vinatis</t>
  </si>
  <si>
    <t>Avec Nico et Vangélis sur saucisse de toulouse et frites au four. On a beaucoup aimé</t>
  </si>
  <si>
    <t>Bordeaux Supérieur</t>
  </si>
  <si>
    <t>Cuvée des Anges</t>
  </si>
  <si>
    <t>28/06/2022
13/04/2023</t>
  </si>
  <si>
    <t>Correct. Cécile n'aime pas. Je le trouve assez léger et il ne reste pas trop en bouche mais le goût est bon. Meilleur le lendemain encore
Même avis que la dernière fois</t>
  </si>
  <si>
    <t>Auchan FAV</t>
  </si>
  <si>
    <t>J'avais adoré le 2014. J'aime tout autant le 2015. Fruité mais soutenu, un peu boisé. A racheter si on en trouve</t>
  </si>
  <si>
    <t>Angelliaume</t>
  </si>
  <si>
    <t>Chinon</t>
  </si>
  <si>
    <t>Le Désir de Gérard</t>
  </si>
  <si>
    <t>Chenin blanc</t>
  </si>
  <si>
    <t>Bu pour l'anniversaire de Cécile. Jess a beaucoup aimé. Math réticent a aimé aussi. Moi aussi. Rond, épais, goût de beurre</t>
  </si>
  <si>
    <t>Bottega</t>
  </si>
  <si>
    <t>Pinot Grigio</t>
  </si>
  <si>
    <t>delle Venezie</t>
  </si>
  <si>
    <t>Apéro Cécile et moi. Cécile en a bu des meilleurs. J'ai bien aimé</t>
  </si>
  <si>
    <t>Domaine de Laplace</t>
  </si>
  <si>
    <t>Côtes de Duras</t>
  </si>
  <si>
    <t>Petit Capri</t>
  </si>
  <si>
    <t>Rosé</t>
  </si>
  <si>
    <t>Cabernet Sauvignon, Cabernet Franc, Merlot</t>
  </si>
  <si>
    <t>Apéro zoom pour l'anniversaire du père de Cécile. Pas d'intérêt, pas très fruité et plutôt amer. Ne pas racheter</t>
  </si>
  <si>
    <t>Cuvée Tradition</t>
  </si>
  <si>
    <t>Syrah, Grenache, Carignan vieilles vignes</t>
  </si>
  <si>
    <t>16/11/2019
24/05/2020</t>
  </si>
  <si>
    <t>13/06/2020
15/04/2022</t>
  </si>
  <si>
    <t>En normandie avec Mika et Marine. Pas mal, mais un peu trop sur l'alcool par rapport à mon souvenir au marché. Tester une prochaine fois
Chez Math et Jess. Un peu fort en alcool mais très correct</t>
  </si>
  <si>
    <t>Omenaldi</t>
  </si>
  <si>
    <t>Irouléguy</t>
  </si>
  <si>
    <t>Cabernet Franc, Cabernet Sauvignon, Tannat</t>
  </si>
  <si>
    <t>Espelette</t>
  </si>
  <si>
    <t>En attente de dégustation ce soir</t>
  </si>
  <si>
    <t>Pays d'Oc</t>
  </si>
  <si>
    <t>Tout seul. Très correct. On peu en reprendre</t>
  </si>
  <si>
    <t>Domaine Casanova</t>
  </si>
  <si>
    <t>Ile de Beauté</t>
  </si>
  <si>
    <t>Les vignerons d'Aghione</t>
  </si>
  <si>
    <t>Corse</t>
  </si>
  <si>
    <t>01/06/2021
09/07/2021
15/07/2021
14/04/2023</t>
  </si>
  <si>
    <t>3,5
3,5
3,5
3,5</t>
  </si>
  <si>
    <t>Bon, mais doit être servi très frais. Sur les agrumes type pamplemousse. Assez déroutant mais très rafraichissant.
Même constat
Même constat
Même constat</t>
  </si>
  <si>
    <t>Pierre Trichet</t>
  </si>
  <si>
    <t>L'exception</t>
  </si>
  <si>
    <t>08/02/2020
12/02/2023</t>
  </si>
  <si>
    <t>4,5
4,5</t>
  </si>
  <si>
    <t>Avec mes parents. Excellent champagne. Le meilleur que j'ai bu de mes différentes bouteilles.
Avec mes parents. Pour l'anniversaire de Roman. On a encore beaucoup aimé</t>
  </si>
  <si>
    <t>Château Gigognan</t>
  </si>
  <si>
    <t>Châteauneuf du Pape</t>
  </si>
  <si>
    <t>Clos du Roi</t>
  </si>
  <si>
    <t>Grenache Noir, Syrah, Mourvèdre</t>
  </si>
  <si>
    <t>Monoprix FAV</t>
  </si>
  <si>
    <t>Soirée oenologie avec Mika, Claire, Nico Vangélis et Cécile. Très très bon chateauneuf du pape que j'avais carafé avant</t>
  </si>
  <si>
    <t>Michel Picard</t>
  </si>
  <si>
    <t>Saint Aubin</t>
  </si>
  <si>
    <t>Le Charmois</t>
  </si>
  <si>
    <t>15/02/2019
04/08/2019
01/05/2020</t>
  </si>
  <si>
    <t>4
4
4</t>
  </si>
  <si>
    <t>Soirée Oenologie Mika Isa Cécile. Bon. Peut encore vieillir un peu
Chez Véro&amp;Jay. Mika et moi avons encore bien aimé. Cécile moins, trop sucré à son goût
Apéro Zoom avec Cécile. Je reste sur ma note. Cécile n'aime toujours pas trop.</t>
  </si>
  <si>
    <t>Rully</t>
  </si>
  <si>
    <t>Les Rabourcés</t>
  </si>
  <si>
    <t>09/08/2019
12/10/2019
10/12/2021</t>
  </si>
  <si>
    <t>3
3,5
3</t>
  </si>
  <si>
    <t>Soirée chez Mika avec Cécile. Ressemble au Saint Aubin du même domaine mais ce qui reste en bouche est un petit goût amer
Crémaillère Manu. Pas bu le soir même mais du coup, bu le lendemain et n'a plus le goût amer. Peut être qu'une fois carafé il est bon. Goùt de beurre et de fumée</t>
  </si>
  <si>
    <t>André Goichot</t>
  </si>
  <si>
    <t>Côte de Nuits - Villages</t>
  </si>
  <si>
    <t>Pinot Noir</t>
  </si>
  <si>
    <t>12/04/2019
27/01/2023</t>
  </si>
  <si>
    <t>Soirée Claire Cécile. Claire a bien aimé. Je n'ai pas été super convaincu
Avec Isa, sur un poulet frite. Bonne association car sans manger, il est un peu trop acide à mon goût</t>
  </si>
  <si>
    <t>Chamilly</t>
  </si>
  <si>
    <t>Mercurey</t>
  </si>
  <si>
    <t>Les Vignes d'Orge</t>
  </si>
  <si>
    <t>Avec MIka. Trop boisé. Pas top</t>
  </si>
  <si>
    <t>Givry</t>
  </si>
  <si>
    <t>En Choué</t>
  </si>
  <si>
    <t>Chez Jess et Matthieu. Correct, sans plus</t>
  </si>
  <si>
    <t>Château Haut-Gayat</t>
  </si>
  <si>
    <t>Cadeau</t>
  </si>
  <si>
    <t>Tout seul. Pas mal, même si peu de corps. Peut-être en racheter pour le faire vieillir 5/10 ans de plus car pas cher.</t>
  </si>
  <si>
    <t>Château Val Joanis</t>
  </si>
  <si>
    <t>Luberon</t>
  </si>
  <si>
    <t>Les Griottes</t>
  </si>
  <si>
    <t>Syrah, Grenache Noir</t>
  </si>
  <si>
    <t>Avec Cécile pour goûter. Correct mais sans plus. Attaque un peu trop. Meilleur que l'autre vin de Vincent</t>
  </si>
  <si>
    <t>Domaine la Soumade</t>
  </si>
  <si>
    <t>Rasteau</t>
  </si>
  <si>
    <t>Valap</t>
  </si>
  <si>
    <t>07/02/2020
27/11/2020
19/11/2021</t>
  </si>
  <si>
    <t>3
3,5
3,5</t>
  </si>
  <si>
    <t>Avec Mika. Je n'ai pas vraiment aimé. Pas mon style, trop alcoolisé. Voir si meilleur en le faisant vieillir car très bien noté. MIka n'a pas aimé. Cécile si
Tout seul. J'ai préféré à la fois précédente
Correct sans plus</t>
  </si>
  <si>
    <t>Cabernet Franc</t>
  </si>
  <si>
    <t>09/09/2019
13/11/2019</t>
  </si>
  <si>
    <t>3
3</t>
  </si>
  <si>
    <t>Avec Cécile. Correct mais rien d'extraordinaire
Pareil</t>
  </si>
  <si>
    <t>Château de Beaucastel</t>
  </si>
  <si>
    <t>Côtes du Rhône</t>
  </si>
  <si>
    <t>Coudoulet de Beaucastel</t>
  </si>
  <si>
    <t>Avec Chouch/Mag et Nico. Correct mais manque de corps selon moi</t>
  </si>
  <si>
    <t>Domaine Ameztia</t>
  </si>
  <si>
    <t>Courbu Blanc, Gros Manseng, Petit Manseng</t>
  </si>
  <si>
    <t>Domaine Carcenac</t>
  </si>
  <si>
    <t>Gaillac</t>
  </si>
  <si>
    <t>Jadis</t>
  </si>
  <si>
    <t>Fer Servadou, Duras, Syrah</t>
  </si>
  <si>
    <t>Caviste</t>
  </si>
  <si>
    <t>27/06/2021
04/06/2023</t>
  </si>
  <si>
    <t>Offert a Désiré. J'en racheterai car je l'aime bien. Je pense qu'il gagnerait à vieillir 2/3 ans encore
Très bon. Avec Michel et Cécile. Avevc un poulet rôti</t>
  </si>
  <si>
    <t>Domaine de la Désoucherie</t>
  </si>
  <si>
    <t>Cheverny</t>
  </si>
  <si>
    <t>Sauvignon Blanc, Chardonnay</t>
  </si>
  <si>
    <t>09/02/2019
23/02/2019</t>
  </si>
  <si>
    <t>2,5
2,5</t>
  </si>
  <si>
    <t>Avec Mel. Sans plus. Ce n'est pas mon style de vin. Pas assez sec à mon goût
Soirée révélation. Toujours pas top</t>
  </si>
  <si>
    <t>Cour - Cheverny</t>
  </si>
  <si>
    <t>Romorantin</t>
  </si>
  <si>
    <t>Chez Jessie et Mathieu. Meilleur que le Cheverny mais pas convaincu</t>
  </si>
  <si>
    <t>Petit Jules</t>
  </si>
  <si>
    <t>Correct mais surtout le lendemain, et avec un plat en sauce (poulet crème champignon)</t>
  </si>
  <si>
    <t>Domaine Roche</t>
  </si>
  <si>
    <t>Cairanne</t>
  </si>
  <si>
    <t>29/05/2020
18/01/2021
15/05/2022
08/07/2022
10/02/2024</t>
  </si>
  <si>
    <t>4
3,5
3
3,5</t>
  </si>
  <si>
    <t>Chez Véro &amp; Jay. Marquer la note quand on l'aura bue
Tout seul pour retester. Notes de réglisses. Arômes sucrés. Très agréable, il faut aimer le style.
Pour libérer quelques places dans la cave. Bon cairanne mais il faut vraiment aimer le style
Apporté chez Mel et Jey. Pas bu
Pas fan. Je le bois pour vider ma cave
Correct</t>
  </si>
  <si>
    <t>Huber-Verdereau</t>
  </si>
  <si>
    <t>Pré aux Dames</t>
  </si>
  <si>
    <t>Avec Cécile et Claire. Plutôt bon. Sec mais pas minéral, plutôt fruité, sucré. Ne plait pas particulièrement à Cécile</t>
  </si>
  <si>
    <t>Jean Bouchard</t>
  </si>
  <si>
    <t>Chablis Premier cru</t>
  </si>
  <si>
    <t>22/10/2021
31/12/2021
24/06/2023</t>
  </si>
  <si>
    <t>4,5
3,5
4</t>
  </si>
  <si>
    <t>Super Chablis 1er cru.
Nouvel an avec Chouch Mag Nico et Cécile. Plutôt insignifiant. Je pense qu'il était mal associé avec un risotto aux champignons
Chez Vangélis avec Nico, Cécile et les enfants. On a tous bien aimé</t>
  </si>
  <si>
    <t>Les Combes Cachées</t>
  </si>
  <si>
    <t>Minervois - La Livinière</t>
  </si>
  <si>
    <t>Cuvée Les 3 écus</t>
  </si>
  <si>
    <t>Carignan, Cinsault, Mourvèdre</t>
  </si>
  <si>
    <t>Site Vignerons</t>
  </si>
  <si>
    <t>01/04/2023
20/07/2023</t>
  </si>
  <si>
    <t>Avec Kev et Sarah
Pour l'anniv de Véro avec un barbecue. Bien passé</t>
  </si>
  <si>
    <t>Mas Combaréla</t>
  </si>
  <si>
    <t>Carignan</t>
  </si>
  <si>
    <t>Les Vieux Mazets</t>
  </si>
  <si>
    <t>Michel Girard &amp; Fils</t>
  </si>
  <si>
    <t>13/02/2020
14/03/2020</t>
  </si>
  <si>
    <t>Bu avec Cécile. Très bon Sancerre. A racheter au salon s'ils sont présents
Bu avec Nico Marc et Yannick. Tout le monde a aimé</t>
  </si>
  <si>
    <t>Stéphane Aviron</t>
  </si>
  <si>
    <t>Saint Amour</t>
  </si>
  <si>
    <t>Beaujolais</t>
  </si>
  <si>
    <t>Gamay</t>
  </si>
  <si>
    <t>07/05/2020
14/05/2020
22/05/2020
21/06/2021
09/11/2021
26/03/2022</t>
  </si>
  <si>
    <t>4
4
4,5
4,5
4,5
4,5</t>
  </si>
  <si>
    <t>Parfait. Vin assez léger comme un Gamay mais le goût est très agréable et fruité. Cécile aime beaucoup aussi
Très appréciable
Avec Marine et Mika à Pontault-Combault. A fait l'unanimité
Avec Jess et Mathieu chez nous. A encore bien plu
Avec Maxence et Anaïs. Toujours aussi bon et fruité
Avec les parents de Cécile. Il a beaucoup plu</t>
  </si>
  <si>
    <t>Surrau</t>
  </si>
  <si>
    <t>Vermentino di Gallura</t>
  </si>
  <si>
    <t>Sciala Superiore</t>
  </si>
  <si>
    <t>Sardaigne</t>
  </si>
  <si>
    <t>Vermentino</t>
  </si>
  <si>
    <t>Supermarché</t>
  </si>
  <si>
    <t>Soirée raclette avec Claire des bois. Le goût très fruité est super, mais le vin semble pétiller. Peut-être trop jeune, et moins bon que le montagny bu juste avant.</t>
  </si>
  <si>
    <t>Ferrand</t>
  </si>
  <si>
    <t>06/10/2021
03/12/2022
27/03/2025</t>
  </si>
  <si>
    <t>Bon Saint-Aubin. Chardonnay rond
Avec Claire des Bois. Pendant l'apéro. On l'a tous les 3 trouvé très bon
Avec Mika et Marine, toujours au top</t>
  </si>
  <si>
    <t>Domaine Rois Mages - Anne-Sophie Debavealere</t>
  </si>
  <si>
    <t>Les Cailloux</t>
  </si>
  <si>
    <t>15/09/2019
06/04/2020</t>
  </si>
  <si>
    <t>Après-midi console avec Mika. Bien meilleur que le rully acheté sur veepee. Entre 4 et 4,5
Pour apéro anniversaire Jessie, en confinement. Vraiment bien. A racheter</t>
  </si>
  <si>
    <t>Jean Perrier</t>
  </si>
  <si>
    <t>Vin de Savoie - Mondeuse</t>
  </si>
  <si>
    <t>Cuvée Gastronomie</t>
  </si>
  <si>
    <t>Savoie et Bugey</t>
  </si>
  <si>
    <t>Mondeuse</t>
  </si>
  <si>
    <t>22/12/2019
25/01/2020</t>
  </si>
  <si>
    <t>Avec la belle famille. Très bien. Mais ne reste pas vraiment en bouche. Par contre super rapport qualité/prix
Soirée raclette avec Claire des bois. Vin très particulier, goût de feu de bois. Je le trouve bon. Claire l'a apprécié aussi.</t>
  </si>
  <si>
    <t>Laurent Martray</t>
  </si>
  <si>
    <t>Brouilly</t>
  </si>
  <si>
    <t>Le coeur des feuillées VALAP</t>
  </si>
  <si>
    <t>Vieilles vignes</t>
  </si>
  <si>
    <t>13/04/2020
25/04/2020
04/05/2020
21/05/2020
12/09/2020
25/07/2021</t>
  </si>
  <si>
    <t>4
4
4
3,5
4
4</t>
  </si>
  <si>
    <t>Bon Brouilly. Légèrement acide mais Gamay agréable
Toujours très bien, cette fois ci j'ai l'impression que je l'ai préféré au côté de brouilly car j'ai moins senti l'acidité et l'équilibre est très bon
Egal à lui même
Avec Marine et Mika à Pontault-Combault. Je l'ai trouvé un peu plus amer et surtout aucun commentaire des autres donc peu apprécié
Avec Claire Desbois. Elle a beaucoup aimé. J'ai retrouvé le goût que j'appréciais les premières fois
Bien, comme les premières fois</t>
  </si>
  <si>
    <t>Château Bidonnet Laffitte</t>
  </si>
  <si>
    <t>Cuvée Linda</t>
  </si>
  <si>
    <t>Pas de note car ramené à l'anniversaire de Jay mais pas ouvert</t>
  </si>
  <si>
    <t>Château de la Greffière</t>
  </si>
  <si>
    <t>Mâcon</t>
  </si>
  <si>
    <t>Mâcon La Roche Vineuse</t>
  </si>
  <si>
    <t xml:space="preserve">16/07/2021
09/11/2021
</t>
  </si>
  <si>
    <t xml:space="preserve">3,5
3,5
</t>
  </si>
  <si>
    <t xml:space="preserve">Avec Cécile. Vin très rond, pas du tout sur l'acidité. Presque un champagne sans bulle pour ma part, légèrement sucré. Cécile a aimé, mois moins
Avec Maxence et Anaïs. Cécile a encore aimé. Moi toujours pas. Ne pas racheter. Trop sur le beurre
</t>
  </si>
  <si>
    <t>Domaine Valéry Renaudat</t>
  </si>
  <si>
    <t>Reuilly</t>
  </si>
  <si>
    <t>Le Sentier</t>
  </si>
  <si>
    <t>Bon petit pinot noir, assez léger</t>
  </si>
  <si>
    <t>Dupré Goujon</t>
  </si>
  <si>
    <t>Côte de Brouilly</t>
  </si>
  <si>
    <t>14/04/2020
27/04/2020
14/12/2021
30/04/2022
26/12/2022
03/05/2024</t>
  </si>
  <si>
    <t>4,5
4
3
3,5
4,5</t>
  </si>
  <si>
    <t>Super côté de Brouilly. Je pense qu'il peut vieillir en cave mais nous avons beaucoup aimé
Toujours très bien mais j'ai trouvé une point d'amertume en fin de bouche cette fois-ci. Je baisse donc sa note.
Apéro avec Cécile. Costaud. Pas forcément adapté à du saucisson
Avec Nico. Je crois que nous avons bien aimé
Tout seul. Il est vraiment bon. Fruité mais costaux, Je croyais qu'il n'était pas top mais boire le 2017 en 2024 est la bonne année</t>
  </si>
  <si>
    <t>François Weck</t>
  </si>
  <si>
    <t>Gewürztraminer</t>
  </si>
  <si>
    <t>Cuvée prestige</t>
  </si>
  <si>
    <t>Gewurztraminer</t>
  </si>
  <si>
    <t>Cuvée Annala</t>
  </si>
  <si>
    <t>Vigneron de Buxy</t>
  </si>
  <si>
    <t>Tête de Cuvée</t>
  </si>
  <si>
    <t>Soirée raclette avec Claire des bois. Vraiment super. Complexe et devrait pouvoir se garder. A voir si je peux en retrouver d'autre car excellente surprise.</t>
  </si>
  <si>
    <t>Antoine Sunier</t>
  </si>
  <si>
    <t>Régnié</t>
  </si>
  <si>
    <t>28/05/2020
12/12/2020
20/01/2021
03/02/2021
17/11/2021</t>
  </si>
  <si>
    <t>4
0
2
3,5
3</t>
  </si>
  <si>
    <t>J'ai bien aimé. On sent vraiement le gamay du beaujolais. Cécile n'a pas accroché. A voir en vieillissant car il est effectivement jeune
Tout seul. Il avait tourné. Bouteille à jeter
Encore une bouteille avec un bouchon qui casse et un goût très prononcé de champignon. Je n'ai pas trop aimé
Bouteille bien meilleure. Ce n'est pas mon vin préféré car il cogne le crane, mais très correcte. Dommage que deux bouteilles étaient mauvaises
Ne pas en racheter. Vraiment pas mon style de vin</t>
  </si>
  <si>
    <t>Soléa</t>
  </si>
  <si>
    <t>Domaine Le Mirabeau</t>
  </si>
  <si>
    <t>Les Lignis</t>
  </si>
  <si>
    <t>Sans plus. Cécile n'aime pas</t>
  </si>
  <si>
    <t>Les Belles Vignes</t>
  </si>
  <si>
    <t>Bon Sancerre. Rien de particulier mais fait parfaitement le job.</t>
  </si>
  <si>
    <t>Philippe Tupinier</t>
  </si>
  <si>
    <t>Côtes d'Auxerre</t>
  </si>
  <si>
    <t>Avec Cécile. Assez original, je l'avais bien aimé sur le marché, mais cette fois ci j'ai trouvé qu'il avait une pointe d'amertume qui n'était pas exceptionnelle</t>
  </si>
  <si>
    <t>Chablis</t>
  </si>
  <si>
    <t>14
14
14</t>
  </si>
  <si>
    <t>Marché
Marché
Marché</t>
  </si>
  <si>
    <t>16/11/2019
15/02/2020
21/11/2020</t>
  </si>
  <si>
    <t>22/12/2019
13/03/2020
13/03/2020
11/05/2021
18/05/2021</t>
  </si>
  <si>
    <t>4
4
4
4
4</t>
  </si>
  <si>
    <t>Bu avec les parents de Cécile. Bon chablis. Pas agressif.
Toujours bon
Toujours bon
Toujours bon
Toujours bon</t>
  </si>
  <si>
    <t>Cuvée Spéciale</t>
  </si>
  <si>
    <t>Très correct</t>
  </si>
  <si>
    <t>Cécile a immédiatement beaucoup aimé. Je le trouve très bien aussi mais un peu cher pour un simple côte d'Auxerre</t>
  </si>
  <si>
    <t>Emilie &amp; Benoit</t>
  </si>
  <si>
    <t>Esprit</t>
  </si>
  <si>
    <t>Merlot, Cabernet Sauvignon</t>
  </si>
  <si>
    <t>Ne pas racheter, pas bon</t>
  </si>
  <si>
    <t>Domaine de l'Olivette</t>
  </si>
  <si>
    <t>Bandol</t>
  </si>
  <si>
    <t>Mourvèdre, Grenache Noir, Cinsault</t>
  </si>
  <si>
    <t>Le Clos Coquimbert</t>
  </si>
  <si>
    <t>Super Chinon. Nous aimons beaucoup.Sous bois (cave humide pour Cécile). Encore meilleure lorsqu'il s'est aéré. Millésime top car le 2017 est décevant</t>
  </si>
  <si>
    <t>Château Rousselle</t>
  </si>
  <si>
    <t>Côtes de Bourg</t>
  </si>
  <si>
    <t>Cru bourgeois</t>
  </si>
  <si>
    <t>J'aime beaucoup. Ca me fait penser aux vieux bordeaux que je buvais chez Faz</t>
  </si>
  <si>
    <t>Avec Mika et Marine. Très bon Givry. Je n'avais pas aimé le Mercurey de cette maison mais ce Givry est à racheter si on retourne voir les cousins de Cécile</t>
  </si>
  <si>
    <t>Mas d'Encha</t>
  </si>
  <si>
    <t>Faugères</t>
  </si>
  <si>
    <t>L'approche</t>
  </si>
  <si>
    <t>Cinsault, Carignan, Mourvèdre</t>
  </si>
  <si>
    <t>Tout seul pour goûter. Pruneau et épice. Très correct pour le prix, mais j'aurais mis 3 s'il était plus cher.</t>
  </si>
  <si>
    <t>Zorah</t>
  </si>
  <si>
    <t>Karazi</t>
  </si>
  <si>
    <t>Arménie</t>
  </si>
  <si>
    <t>Areni noir</t>
  </si>
  <si>
    <t>14/09/2019
22/02/2025</t>
  </si>
  <si>
    <t>Avec Mika et Nico soirée Console. Je le trouve excellent. Sucré, sur les fruits noir. On voit que c'est un vin du soleil. Pourra se garder. Très belle découverte
Avec les parents de Cécile qui l'ont trouvé trop fort mais j'ai bien aimé</t>
  </si>
  <si>
    <t>Meilleur que mon souvenir, et vraiment pas cher. Donc bon rapport qualité prix même si pas un vin exceptionnel. Pointe d'acitité sur la fin</t>
  </si>
  <si>
    <t>Caveau Bugiste</t>
  </si>
  <si>
    <t>Bugey Manicle</t>
  </si>
  <si>
    <t>Cuvée de Rocailles</t>
  </si>
  <si>
    <t>25/11/2022
30/10/2023</t>
  </si>
  <si>
    <t>2 offertes à Faz pour Noël
Soirée raclette avec Nico, Claire Cécile. Correct avec la raclette mais sans plus. Je n'en rachèterai pas
Sans rien dans un premier temps, j'ai finalement beaucoup aimé. Puis sur un gratin de chou-fleur aux lardons. Très bien</t>
  </si>
  <si>
    <t>Château Ollieux Romanis</t>
  </si>
  <si>
    <t>Corbières - Boutenac</t>
  </si>
  <si>
    <t>Atal Sia</t>
  </si>
  <si>
    <t>Carignan, Grenache Noir, Cinsault</t>
  </si>
  <si>
    <t>Intercaves</t>
  </si>
  <si>
    <t>Avec Mika et Marine. Correct mais pas trop de longueur en bouche</t>
  </si>
  <si>
    <t>Minuty</t>
  </si>
  <si>
    <t>M</t>
  </si>
  <si>
    <t>Grenache Noir, Cinsault, Syrah</t>
  </si>
  <si>
    <t>31/07/2020
12/08/2020
12/09/2020
04/11/2020
27/05/2022
04/08/2022</t>
  </si>
  <si>
    <t>4
4
4
4
4
4</t>
  </si>
  <si>
    <t>Avec Elodie et Ronan. Passe très bien. Par contre je m'attendais à encore mieux vu la réputation
Avec Maxence et Anais. Pareil
Avec Claire Desbois. Pareil
Avec Marion. Pareil
Avec Cécile. Pareil
Avec Cécile. Pareil</t>
  </si>
  <si>
    <t>Rémi Jeanniard</t>
  </si>
  <si>
    <t>Bourgogne Aligoté</t>
  </si>
  <si>
    <t>Aligoté</t>
  </si>
  <si>
    <t xml:space="preserve">19/07/2021
05/11/2021
</t>
  </si>
  <si>
    <t xml:space="preserve">Bon rapport qualité prix
Idem
</t>
  </si>
  <si>
    <t>Bardet &amp; Fils</t>
  </si>
  <si>
    <t>15/04/2022
30/07/2022</t>
  </si>
  <si>
    <t>Chez Math et Jess mais on a été assez déçu. Pas top contraiterement à mes souvenirs du salon
Pas noté</t>
  </si>
  <si>
    <t>Avec Tanja. On a bien aimé</t>
  </si>
  <si>
    <t>Domaine de Milhomme</t>
  </si>
  <si>
    <t>Cuvée Le Mûrier</t>
  </si>
  <si>
    <t>14/01/2023
27/03/2024
17/01/2025</t>
  </si>
  <si>
    <t>4
3,5
3,5</t>
  </si>
  <si>
    <t>Avec Nico. Vraiment pas mal du tout. Beaucoup de goût.
Tout seul. Vin d'apéro. Fruité léger et pas de longueur en bouche, mais correct
Même avis que précédemment</t>
  </si>
  <si>
    <t>Domaine de Veilloux</t>
  </si>
  <si>
    <t>Les Veilleurs</t>
  </si>
  <si>
    <t>Gamay, Pinot Noir</t>
  </si>
  <si>
    <t>Maison du Vin</t>
  </si>
  <si>
    <t>Avec Papou et Nanou qui ont beaucoup aime</t>
  </si>
  <si>
    <t>Domaine des Huards</t>
  </si>
  <si>
    <t>Le Vivier</t>
  </si>
  <si>
    <t>Avec Papou et Nanou qui ne l'ont pas trouvé bon. Moi non plus surtout après Les veilleurs qui était très bien</t>
  </si>
  <si>
    <t>Domaine du Castellat</t>
  </si>
  <si>
    <t>Bergerac</t>
  </si>
  <si>
    <t>Cuvée Victor et Hugo</t>
  </si>
  <si>
    <t>Cabernet Franc, Cabernet Sauvignon, Merlot</t>
  </si>
  <si>
    <t>21/11/2020
13/02/2021</t>
  </si>
  <si>
    <t>Très bon rapport qualité prix. Un goût avec du caractère mais peut-être pas assez de longueur en bouche. A racheter pour tester.</t>
  </si>
  <si>
    <t>Grandes Costes</t>
  </si>
  <si>
    <t>Languedoc Pic Saint Loup</t>
  </si>
  <si>
    <t>Les Grandes Costes</t>
  </si>
  <si>
    <t>Carignan, Cinsault, Grenache Noir</t>
  </si>
  <si>
    <t>Avec Tichou qui a beaucoup aimé. Moi aussi mais un peu léger en bouche. Il aime les vins un peu confis</t>
  </si>
  <si>
    <t>Bon chardonnay</t>
  </si>
  <si>
    <t>23/11/2024
29/03/2025</t>
  </si>
  <si>
    <t>Amenée chez Véro &amp; Jay
Pour Cécile qui n'aimait pas l'Irouleguy</t>
  </si>
  <si>
    <t>Château Haut-Tellas</t>
  </si>
  <si>
    <t>Entre Deux Mers</t>
  </si>
  <si>
    <t>Fûts de Chêne</t>
  </si>
  <si>
    <t>Sauvignon Blanc, Semillon, Muscadelle</t>
  </si>
  <si>
    <t>J'aime bien mais je trouve que 22€ c'est trop cher. A 15 ce serait correct</t>
  </si>
  <si>
    <t>Gérard Bertrand</t>
  </si>
  <si>
    <t>Gris Blanc</t>
  </si>
  <si>
    <t>Cadeau Marion</t>
  </si>
  <si>
    <t>Je ne sais plus mais Cécile l'avait trouvé bon au mariage</t>
  </si>
  <si>
    <t>Neil Becede Vigneron</t>
  </si>
  <si>
    <t>OVOID Pirate</t>
  </si>
  <si>
    <t>Chateau Haut-Plantade</t>
  </si>
  <si>
    <t>Pessac - Léognan</t>
  </si>
  <si>
    <t>Sauvignon Blanc - Sémillon</t>
  </si>
  <si>
    <t>Tout seul. Pas intéressant car sûrement dépassé. Alcool semble évaporé et aucune longueur en bouche</t>
  </si>
  <si>
    <t>Clos de los Siete</t>
  </si>
  <si>
    <t>Mendoza</t>
  </si>
  <si>
    <t>Mendoza, Argentine</t>
  </si>
  <si>
    <t>02/10/2021
27/12/2022
24/01/2023</t>
  </si>
  <si>
    <t>Vin du soleil puissant en alcool mais pas tant que ça en goût. Assez sucré comme les vins ensoleillé. Bien aimé
Toujours très bien
Avec Nico. Sur une fondue savoyarde. Très bien. Nico a aussi aimé ce style de vin</t>
  </si>
  <si>
    <t>Côtes de Bordeaux</t>
  </si>
  <si>
    <t>Avec Nico et Vangélis/ Carafé avant, plutôt bon mais assez puissant et boisé</t>
  </si>
  <si>
    <t>03/05/2022
30/08/2025</t>
  </si>
  <si>
    <t>Tout seul pour gouter. Vraiment pas mal. Je pense en racheter si je les retrouve au marché des producteurs. Bon petit bordeaux supérieur
Vraiment bien</t>
  </si>
  <si>
    <t>Château Lézin</t>
  </si>
  <si>
    <t>Bordeaux supérieur</t>
  </si>
  <si>
    <t>06/08/2019
12/10/2019
22/10/2019
29/12/2020</t>
  </si>
  <si>
    <t>2
2
3,5
3</t>
  </si>
  <si>
    <t>Tout seul pour gouter. Pas terrible. Vin de table et trop alcoolisé. Meilleur 2 jours arpès
Crémaillère Manu. Toujour le même avis
Bizarrement, pas si fort. En utilisant l'aérateur de vin. Et en mageant flageolets et escalope de veau. Le fromage aussi allait avec mais le yahourt myrtille pas du tout
Finalement, assez alcoolisé et pas très agréable. Ne pas racheter</t>
  </si>
  <si>
    <t>Fahrer-Ackermann</t>
  </si>
  <si>
    <t>Gewurztraminer Vendanges Tardives</t>
  </si>
  <si>
    <t>Très bon. A racheter. Reste bien en bouche et n'est pas trop sucré comme certains moelleux</t>
  </si>
  <si>
    <t>Couly-Dutheil</t>
  </si>
  <si>
    <t>Clos de l'Echo</t>
  </si>
  <si>
    <t>Avec Chouch et Mag car chouch me l'avait offert à la crémaillère de rue Taine. Très bien, plutôt costaud. J'ai beaucoup aimé et Chouch aussi</t>
  </si>
  <si>
    <t>Pouilly Fumé</t>
  </si>
  <si>
    <t>Excellent Pouilly fumé bu avec Chouch et Mag</t>
  </si>
  <si>
    <t>La Presidente</t>
  </si>
  <si>
    <t>Lucrèce</t>
  </si>
  <si>
    <t>15/06/2019
02/05/2020</t>
  </si>
  <si>
    <t>0
3,5</t>
  </si>
  <si>
    <t>Chez Claire pour anniv Fabien. Vin affreux, que sur l'alcool. On ne l'a pas bu
Carafé 2h avant. Rien à voir avec l'autre bouteille. Vin correct, mais pas trop de longueur pour un Châteauneuf. Attendre pour la dernière bouteille</t>
  </si>
  <si>
    <t>Avec Michel. On l'a pris avec une bavette. Très correct mais un cran en dessous du 2014, et plusieurs crans au dessus du 2017</t>
  </si>
  <si>
    <t>Vidal Fleury</t>
  </si>
  <si>
    <t>10/12/2019
27/01/2024</t>
  </si>
  <si>
    <t>4,5
3,5</t>
  </si>
  <si>
    <t>Pour tester, avec Cécile. Très prometteur. Déjà très bon alors que juste aéré avec l'aérateur manuel et manger avec un plat non adapté : riz crevette sauce coco
Au ski avec les mecs. Correct mais pas le meilleur Châteauneuf que j'ai pu boire. Peu de longueur en bouche</t>
  </si>
  <si>
    <t>Frédéric Magnien</t>
  </si>
  <si>
    <t>Mont de Milieu</t>
  </si>
  <si>
    <t>27/09/2019
31/05/2020
26/12/2022</t>
  </si>
  <si>
    <t>2,5
3,5
4</t>
  </si>
  <si>
    <t>Vraiment sans plus. Trop cher pour ce que c'est. Très acide, peut être trop jeune. On verra dans quelques années.
Meilleur que la dernière fois. Avec les voisins du dessus sur la terrasse. Garder la dernière pour dans quelques années.
Avec Nico. On a bien aimé</t>
  </si>
  <si>
    <t>Hamet-Spay</t>
  </si>
  <si>
    <t>Moulin à Vent</t>
  </si>
  <si>
    <t>Les Terres Rouges</t>
  </si>
  <si>
    <t>18/05/2019
26/01/2020</t>
  </si>
  <si>
    <t>4
3,5</t>
  </si>
  <si>
    <t>Chez Mickie/Alex. Très bon, assez fruité et léger. Légèrement astringeant.
Chez nous avec Jessie. Plutôt bon, mais une amertume peu agréable sur la fin. Je pense qu'il gagnerait à vieillir un peu</t>
  </si>
  <si>
    <t>Savigny-les-Beaune</t>
  </si>
  <si>
    <t>Soirée Oenologie à Garches. Très bon. Chardonnay rond, avec du corps, mais dans l'acidité contrairement au Chassagne de Mika qui était boisé</t>
  </si>
  <si>
    <t>Vieille Fontaine</t>
  </si>
  <si>
    <t>Les Crêts</t>
  </si>
  <si>
    <t>08/05/2020
31/12/2021</t>
  </si>
  <si>
    <t>Chez Marine avec Mika suite déconfinement. J'ai beaucoup aimé. Léger comme un pinot noir mais très agréable en bouche. Apprécié de Mika, Marine préfère Lalande
Nouvel an avec Chouch Mag Nico et Cécile. Il a fait l'unanimité. Je l'ai trouvé un poil trop acide personnellement</t>
  </si>
  <si>
    <t>Borsao Bodegas</t>
  </si>
  <si>
    <t>Campo de Borja</t>
  </si>
  <si>
    <t>Campo Castillo</t>
  </si>
  <si>
    <t>Aragon</t>
  </si>
  <si>
    <t>29/10/2021
21/12/2021
22/03/2022
06/06/2023
02/12/2024
28/02/2024</t>
  </si>
  <si>
    <t>3,5
3,5
4
3,5
3
3</t>
  </si>
  <si>
    <t>Tout seul pour goûter. Bon vin du sud, mais assez léger. Très correct pour le prix.
Je mets une meilleure note car Cécile a beaucoup aimé. Moi je trouve le rapport qualité prix très bien, mais je n'aime pas trop les vins du sud trop sucrés
Très correct. Bon rapport qualité prix
Pour l'anniversaire de Jay. N'a pas fait l'unanimité
Pour finir</t>
  </si>
  <si>
    <t>Château Sainte Roseline</t>
  </si>
  <si>
    <t>Lampe de Méduse</t>
  </si>
  <si>
    <t>Cru Classé</t>
  </si>
  <si>
    <t>Alphonse Mellot</t>
  </si>
  <si>
    <t>Sauvignon</t>
  </si>
  <si>
    <t>24/11/2021
27/03/2022
01/11/2022
12/11/2022
19/12/2022
24/11/2023</t>
  </si>
  <si>
    <t>4
3,5
4
4
4
4</t>
  </si>
  <si>
    <t>Avec Nico. Très bon, mais je m'attendais à quelque chose d'exceptionnel. Sancerre classique donc un peu cher 
Avec les beaux parents. Il n'est pas franchement super pour le prix
Avec Tanja. On a bien aimé
Avec Tanja et la maman de Mathilde. On a bien aimé
Avec Cécile pour l'apéritif
Avec Cécile. Toujours très bon</t>
  </si>
  <si>
    <t>Château Moulin Favre</t>
  </si>
  <si>
    <t>Avec Maxence et Anaïs. Pas mal sur un poulet rôti</t>
  </si>
  <si>
    <t>Or Blanc</t>
  </si>
  <si>
    <t>14/10/2022
31/10/2022</t>
  </si>
  <si>
    <t>3,5
3</t>
  </si>
  <si>
    <t>Avec Cécile. Très correct
Avec Tanja. Pas de goût mais avec des glaçons car pas frais. Sans glâçon il y avait du goût mais chaud.</t>
  </si>
  <si>
    <t>Vigne Centenaire</t>
  </si>
  <si>
    <t>Domaine de Montcy</t>
  </si>
  <si>
    <t>Louis de la Saussaye</t>
  </si>
  <si>
    <t>Clos des Cendres</t>
  </si>
  <si>
    <t>04/04/2025
19/09/2025</t>
  </si>
  <si>
    <t>Avec Cécile. J'aime bien mais on a eu mal au crane tous les deux le lendemain. A voir avec la deuxième bouteille
Avec Anne et Guillaume, les parents de Paul. Très bien</t>
  </si>
  <si>
    <t>Domaine des Darrèzes</t>
  </si>
  <si>
    <t>Cuvée Soline</t>
  </si>
  <si>
    <t>16/05/2025
31/05/2025</t>
  </si>
  <si>
    <t>3
-</t>
  </si>
  <si>
    <t>Avec Cécile. Pas terrible, un peu meilleur le lendemain
Ramené mais pas bu à la finale de champions league chez Vangelis</t>
  </si>
  <si>
    <t>Jeff Carrel</t>
  </si>
  <si>
    <t>Languedoc</t>
  </si>
  <si>
    <t>Les Darons</t>
  </si>
  <si>
    <t>13/03/2022
14/07/2022
09/12/2022
15/10/2023
07/11/2023
08/03/2024</t>
  </si>
  <si>
    <t>4
3,5
3,5
3,5
3,5
3,5</t>
  </si>
  <si>
    <t>Avec Faz et Moz à l'appart. Très bien avec côte de porc petits pois
Tout seul pour me faire un petit plaisir. Peut-être un peu costaud quand même
Je n'avais pas trop de nez, car enrhumé, mais Cécile a bien aimé
Avec Nico, Vangélis et Cécile pendant le quart de finale de Rugby
Tout seul. Assez fruité mais costaud. J'aime bien
Pour finir</t>
  </si>
  <si>
    <t>La Meulière</t>
  </si>
  <si>
    <t>Les Larmes de l'Oubli</t>
  </si>
  <si>
    <t>Avec Nico et Mika. J'ai aimé. Cécile non car trop boisé pour elle. Nico et Mika préfèrent aussi quand c'est moins boisé.</t>
  </si>
  <si>
    <t>Laurent Pasquier</t>
  </si>
  <si>
    <t>La Charmoise</t>
  </si>
  <si>
    <t>Avec les parents de Cécile. Très sympa, léger, goût de framboise pour Cécile et pour ma part, un peu poivré sur la fin</t>
  </si>
  <si>
    <t>Luc Percher</t>
  </si>
  <si>
    <t>L'Epicourchois</t>
  </si>
  <si>
    <t>Masso Antico</t>
  </si>
  <si>
    <t>Salento</t>
  </si>
  <si>
    <t>Il Potere</t>
  </si>
  <si>
    <t>Pouilles</t>
  </si>
  <si>
    <t>Traiteur</t>
  </si>
  <si>
    <t>Apéro Nico Vangélis Séverine et Cécile. Correct mais déçu par rapport à mon souvenir. Un peu trop sucré, et une légère amertume dont je ne me souvenais plus</t>
  </si>
  <si>
    <t>Grain d'Amphore</t>
  </si>
  <si>
    <t>Soirée oenologie avec Mika, Claire, Nico, Vangélis et Cécile. Super Sancerre qui a plu à l'unanimité</t>
  </si>
  <si>
    <t>Muzic</t>
  </si>
  <si>
    <t>Boutique</t>
  </si>
  <si>
    <t>Avec Cécile. Bon Pinot Grigio</t>
  </si>
  <si>
    <t>Ogier</t>
  </si>
  <si>
    <t>Ventoux</t>
  </si>
  <si>
    <t>Les Bergeaux</t>
  </si>
  <si>
    <t>Grenache Noir, Syrah, Carignan</t>
  </si>
  <si>
    <t>Tout seul pour goûter. Pas top, et semble léger malgré ses 15%</t>
  </si>
  <si>
    <t>Très correct. Avec Cécile. Peut-être pas le meilleur rapport qualité/prix</t>
  </si>
  <si>
    <t>Dauphin</t>
  </si>
  <si>
    <t>On a bien aimé</t>
  </si>
  <si>
    <t>La tournée de l'Amiral</t>
  </si>
  <si>
    <t>Cabernet Sauvignon</t>
  </si>
  <si>
    <t>Dommage, il était passé</t>
  </si>
  <si>
    <t>Château La Voulte Gasparets</t>
  </si>
  <si>
    <t>Corbières</t>
  </si>
  <si>
    <t>04/09/2019
12/10/2019
10/01/2020
03/04/2020</t>
  </si>
  <si>
    <t>3
2,5
2,5
3</t>
  </si>
  <si>
    <t>Passe très bien. Relativement léger mais le goût est correct. Ca n'est quand même pas un grand vin
Crémaillère Manu. Kev lui a trouvé un goût étrange. Il est léger mais c'est vrai qu'un certain parfum assez particulier et surprenant. Pas terrible.
Tout seul pour faire de la place dans la cave. Toujours entre 2,5 et 3. Sans grand intérêt. Ne pas racheter.
Comme le premier essai. C'est correct vu le prix. Mais ne pas racheter</t>
  </si>
  <si>
    <t>Château Puisseguin La Rigodrie</t>
  </si>
  <si>
    <t>Puisseguin - Saint Emilion</t>
  </si>
  <si>
    <t>Poubelle. Le vin a tourné</t>
  </si>
  <si>
    <t>Château Vaugelas</t>
  </si>
  <si>
    <t>11/09/2019
16/10/2019
03/02/2020</t>
  </si>
  <si>
    <t>3
3
3</t>
  </si>
  <si>
    <t>Correct sans plus
Finalement meilleur que la voulte gasparet
Même avis. Je pense que je n'aime pas trop le corbière ou bien que je ne suis pas encore tombé sur une pépite</t>
  </si>
  <si>
    <t>Marnes Kimméridgiennes</t>
  </si>
  <si>
    <t>Avec Isa soirée beaujo nouveau. Vraiment bon et allait parfaitement avec le tartare de saumon</t>
  </si>
  <si>
    <t>Maison Le Nid</t>
  </si>
  <si>
    <t>Tradition</t>
  </si>
  <si>
    <t>24/11/2021
11/12/2021
23/09/2023
25/11/2023
11/09/2024</t>
  </si>
  <si>
    <t>4
3,5
4
4
4</t>
  </si>
  <si>
    <t>Avec Nico. Très bon avec une raclette
Correct avec un mont d'or mais pas exceptionnel
Avec Cécile sur un poulet rôti. Très bon, avec des tanins fondus
Chez Chouch et Mag avec un Kebab. J'ai trouvé l'association très bonne
Avec mes parents. Toujours très bon</t>
  </si>
  <si>
    <t>Le Poteau</t>
  </si>
  <si>
    <t>Avec Cécile sur fondue Savoyarde. Correct mais pas forcément à racheter</t>
  </si>
  <si>
    <t>Avec Cécile, correct mais sans plus. Pas forcément à racheter car trop cher pour la qualité</t>
  </si>
  <si>
    <t>Vincent Girardin</t>
  </si>
  <si>
    <t>Domaine de la Tour du Bief</t>
  </si>
  <si>
    <t>10/01/2021
04/06/2021</t>
  </si>
  <si>
    <t>4
4,5</t>
  </si>
  <si>
    <t>Pas pris de note au moment de la dégustation, mais je crois me rappeler qu'il valait vraiment le coup, surtout à ce niveau de prix
Bu avec les parents. Ouvert environ 1h avant. Très bon.</t>
  </si>
  <si>
    <t>Domaine de la Feuillarde</t>
  </si>
  <si>
    <t>Saint Véran</t>
  </si>
  <si>
    <t>Maison Rouge Vieilles Vignes</t>
  </si>
  <si>
    <t>26/03/2022
04/12/2022</t>
  </si>
  <si>
    <t>Avec les beaux-parents. Vin blanc préféré de Michel qui l'a trouvé en plus particulièrement bon
Avec une fondue. Très bien</t>
  </si>
  <si>
    <t>Domaine François Raquillet</t>
  </si>
  <si>
    <t>Les Carabys</t>
  </si>
  <si>
    <t>Domaine Venot</t>
  </si>
  <si>
    <t>La Ridette</t>
  </si>
  <si>
    <t>Cadeau Greg</t>
  </si>
  <si>
    <t>Avec Nico et Vangélis sur un poulet frite. Bonne association mais un peu trop acide à mon goût</t>
  </si>
  <si>
    <t>Voski</t>
  </si>
  <si>
    <t>17/02/2022
15/07/2023</t>
  </si>
  <si>
    <t>4
-</t>
  </si>
  <si>
    <t>Cécile a beaucoup aimé. Personnellement je le trouve très particulier avec des notes de vins cuit ou fruits confits
Offert à Marion et Olivier quand j'ai rencontré Martin</t>
  </si>
  <si>
    <t>Les Caves du Louvre</t>
  </si>
  <si>
    <t>Atelier d'assemblage</t>
  </si>
  <si>
    <t>Cuvée Cécile 27/11/2022</t>
  </si>
  <si>
    <t>Grenache, Syrah, Cargignan, Mourvèdre</t>
  </si>
  <si>
    <t>Caves du Louvre</t>
  </si>
  <si>
    <t>Avec Nico Mika et Cécile, mais le vin était arrivé au stade de vinaigre</t>
  </si>
  <si>
    <t>The Ned</t>
  </si>
  <si>
    <t>Vin de Nouvelle Zélande</t>
  </si>
  <si>
    <t>Marlborough</t>
  </si>
  <si>
    <t>Nysa</t>
  </si>
  <si>
    <t>Avec Mika. Très particulier, sur le fruit exotique.J'ai beaucoup aimé mais peut être un peu écoeurant sur la durée</t>
  </si>
  <si>
    <t>Valery Renaudat</t>
  </si>
  <si>
    <t>Avec Papou et Nanou. Sur un veau au piment d'espelette. Très bon</t>
  </si>
  <si>
    <t>Alain Gautheron</t>
  </si>
  <si>
    <t>05/04/2025
01/08/2025</t>
  </si>
  <si>
    <t>Avec Mehdi. On a beaucoup aimé, mais surtout lui. J'avais un petit regret
Avec Nico Mika et Cécile. Il est très correct mais j'en ai quand même bu des meilleurs</t>
  </si>
  <si>
    <t>Castello Monaci</t>
  </si>
  <si>
    <t>Coribante</t>
  </si>
  <si>
    <t>Domaine Fourrey</t>
  </si>
  <si>
    <t>Vaillons</t>
  </si>
  <si>
    <t>Nouvel an en Bourgogne. Très bon Chablis, Mag a notamment adoré</t>
  </si>
  <si>
    <t>Marqués de la Concordia</t>
  </si>
  <si>
    <t>Rueda</t>
  </si>
  <si>
    <t>Vega de la Reina Verdejo</t>
  </si>
  <si>
    <t>Castille - Leon</t>
  </si>
  <si>
    <t>Verdejo Blanco, Sauvignon Blanc</t>
  </si>
  <si>
    <t>Tout seul. J'aime pas du tout à l'ouverture et pas mieux après. Un peu amer et très acide</t>
  </si>
  <si>
    <t>Matthias et Emile Roblin</t>
  </si>
  <si>
    <t>Origine</t>
  </si>
  <si>
    <t>20/10/2023
01/11/2023
05/12/2023
19/12/2023
12/10/2024
15/11/2024</t>
  </si>
  <si>
    <t>4,5
4
4
4
4
4</t>
  </si>
  <si>
    <t>Avec Nico Vangélis Séverine et Cécilé. J'ai beaucoup aimé. Très agréable, doux mais sec et minéral
Chez Mathieu et Jess. Jess l'a trouvé exceptionnel, Mathieu pas trop. Moi j'ai beaucoup aimé mais un poil moins que la première fois
Avec Mèl
Avec Cécile sur un plateau de fruit de mer. Très bien
Avec Mika, Marine, Nico, Vangelis. Toujours très bon
Avec Claire et Cécile. On a tous bien aimé</t>
  </si>
  <si>
    <t>Silex</t>
  </si>
  <si>
    <t>Pas pris de note mais je me rappelle que j'ai bien aimé</t>
  </si>
  <si>
    <t>07/03/2024
02/05/2025</t>
  </si>
  <si>
    <t>Avec Mel</t>
  </si>
  <si>
    <t>Cabernet Sauvignon, Merlot, Cabernet Franc</t>
  </si>
  <si>
    <t>Soirée oenologie avec Mika, Claire, Nico, Vangélis et Cécile. Malheureusement ce vin avait tourné</t>
  </si>
  <si>
    <t>Château Fourcas Dupré</t>
  </si>
  <si>
    <t>Listrac - Médoc</t>
  </si>
  <si>
    <t>Cabernet Sauvigon, Merlot, Cabernet Franc</t>
  </si>
  <si>
    <t>30/09/2022
05/02/2024</t>
  </si>
  <si>
    <t>Tout seul. J'ai bien aimé les notes de sous bois, cuir, comme les bordeaux que j'aime. Tanins présents mais fondus. A voir en carafant un peu avant pour la prochaine
Tout seul</t>
  </si>
  <si>
    <t>Encore bon contrairement au 2016 qui était passé</t>
  </si>
  <si>
    <t>Domaine des Bouquerries</t>
  </si>
  <si>
    <t>Cuvée Royale</t>
  </si>
  <si>
    <t>27/02/2020
29/02/2020</t>
  </si>
  <si>
    <t>Bu avec Cécile. Se laisse boire, mais aucun corps. Pas désagréable mais très léger et pas un grand vin.
Idem</t>
  </si>
  <si>
    <t>Cuvée Confidence</t>
  </si>
  <si>
    <t>22/06/2019
27/03/2019</t>
  </si>
  <si>
    <t>Suite déménagement. Très bien pour du Chinon. Pas un grand vin mais ce qu'on attend de lui
Avec les beaux parents</t>
  </si>
  <si>
    <t>Les Deux Cailloux</t>
  </si>
  <si>
    <t>24/01/2020
14/03/2020
01/05/2020</t>
  </si>
  <si>
    <t>Bu avec Cécile. Très bon pouilly fumé. Je ne suis pas mécontent d'avoir acheté ce vin sur veepee.
Bu avec Nico Marc Yannick. Très bon pouilly fumé, toujours content
Apéro virtuel Mika Marine. Toujours très bien.</t>
  </si>
  <si>
    <t>05/07/2021
05/10/2021
11/11/2021
22/05/2023</t>
  </si>
  <si>
    <t>2,5
3,5
3
3</t>
  </si>
  <si>
    <t>Déçu car le 2014 était exceptionnel. Celui-ci n'est pas complexe et n'a pas d'intérêt particulier. Légère acidité qui laisserait penser qu'il peut encore vieillir
Moins déçu que la dernière fois. Il avait plus de goût même si le 2014 est un cran bien au dessus
Avec Guillaume et Kadidja. Correct sans plus. Trop acide
Avec Mathieu. Trop acide pour moi</t>
  </si>
  <si>
    <t>Nuiton-Beaunoy</t>
  </si>
  <si>
    <t>Volnay</t>
  </si>
  <si>
    <t>Avec Jean. Très bon. Il a été carafé avant</t>
  </si>
  <si>
    <t>Les Chanlins</t>
  </si>
  <si>
    <t>Premier cru</t>
  </si>
  <si>
    <t>Vraiment très très bon. Avec Elodie et Ronan sur poulet rôti</t>
  </si>
  <si>
    <t>Fourrey</t>
  </si>
  <si>
    <t>21/02/2020
31/10/2021</t>
  </si>
  <si>
    <t>Bu avec Cécile. Vraiment très bon. Gras, avec le goût du chardonnay bien prononcé. Ressemble à un champagne sans bulle presque. A racheter.
Toujours très bon. Bu en amoureux sur un plateau de fruit de mer. Passe très très bien. Sec et bien minéral</t>
  </si>
  <si>
    <t>Maranges</t>
  </si>
  <si>
    <t>Avec les parents de Cécile sur un boeuf bourguignon. Très correct mais je l'ai trouvé un peu trop acide</t>
  </si>
  <si>
    <t>Domaine de Monthélys</t>
  </si>
  <si>
    <t>Ors de Schiste</t>
  </si>
  <si>
    <t>Avec mes parents pour l'annonce de bébé. Très correct. Manque peut être un peu de subtilité mais nous avons bien aimé</t>
  </si>
  <si>
    <t>Domaine Jean-Paul Paquet &amp; Fils</t>
  </si>
  <si>
    <t>Domaine Fussiacus</t>
  </si>
  <si>
    <t>17/12/2021
01/06/2023</t>
  </si>
  <si>
    <t>Avec Michel qui l'a trouvé très bon</t>
  </si>
  <si>
    <t>Pierre-Marie Chermette Vissous</t>
  </si>
  <si>
    <t>Pierreux</t>
  </si>
  <si>
    <t>08/06/2023
19/09/2023
09/12/2023
24/04/2024
02/06/2024</t>
  </si>
  <si>
    <t>4
4
3,5
4
4</t>
  </si>
  <si>
    <t>Avec Nico Vangélis et Cécile. Tout le monde a beaucoup aimé. Avec un gratin de choux fleur, pates et lardons
Avec mes parents sur des pâtes aux lardons. Très bien. Assez léger mais pas trop avec beaucoup de fruit. Mis au frigo un peu de temps avant
Avec Nico en mangeant du jap. Correct mais moins sympa que les dernières fois
Avec Michel. Très bien, toujours un peu poivré et fruité
Avec mes parents</t>
  </si>
  <si>
    <t>Terres Secrètes</t>
  </si>
  <si>
    <t>Les Cras</t>
  </si>
  <si>
    <t>20/11/2023
30/06/2025</t>
  </si>
  <si>
    <t>Avec Cécile. Je n'ai pas pris de note sur le moment mais je crois qu'il était vraiment pas mal
Avec Cécile pour son anniversaire. Très correct mais je préfère Croix de Montceau</t>
  </si>
  <si>
    <t>Castel Firmian</t>
  </si>
  <si>
    <t>Château de la Violette</t>
  </si>
  <si>
    <t>Roussette de Savoie</t>
  </si>
  <si>
    <t>Roussette</t>
  </si>
  <si>
    <t>07/01/2023
06/05/2024</t>
  </si>
  <si>
    <t>2
2</t>
  </si>
  <si>
    <t>Pas top du tout. Un peu vert
Pour le finir, tout seul</t>
  </si>
  <si>
    <t>Domaine des Génaudières</t>
  </si>
  <si>
    <t>Muscadet - Côteaux de la Loire</t>
  </si>
  <si>
    <t>La Coulée d'Or - Sur Lie</t>
  </si>
  <si>
    <t>Melon de Bourgogne (Muscadet)</t>
  </si>
  <si>
    <t>24/07/2023
08/09/2023
11/09/2023</t>
  </si>
  <si>
    <t>2,5
2,5
2,5</t>
  </si>
  <si>
    <t>Pour fêter l'enlèvement du stérilet. Trop acide
Tout seul. Sans intérêt, plat et trop acide
Dernier pour prendre l'apéro avec Cécile en mettant des glaçons</t>
  </si>
  <si>
    <t>Domaine des Ruaults</t>
  </si>
  <si>
    <t>Saumur</t>
  </si>
  <si>
    <t>Chenin</t>
  </si>
  <si>
    <t>Les Gougueys</t>
  </si>
  <si>
    <t>Correct mais trop cher par rapport à la concurrence</t>
  </si>
  <si>
    <t>Pouilly Vinzelles</t>
  </si>
  <si>
    <t>07/10/2022
07/04/2023</t>
  </si>
  <si>
    <t>Avec Chouch/Mag et Nico. Bien
Avec Tanja et Séverine</t>
  </si>
  <si>
    <t>Mas Amiel</t>
  </si>
  <si>
    <t>Côtes du Roussillon Villages</t>
  </si>
  <si>
    <t>Carerades (MAGNUM)</t>
  </si>
  <si>
    <t>Leclerc</t>
  </si>
  <si>
    <t>Confrérie du Jurançon</t>
  </si>
  <si>
    <t>Jurançon</t>
  </si>
  <si>
    <t>Gros Manseng, Petit Manseng, Courbu Blanc</t>
  </si>
  <si>
    <t>Pour l'anniv de Véro. Correct sans plus</t>
  </si>
  <si>
    <t>09/06/2019
18/03/2020
28/03/2020</t>
  </si>
  <si>
    <t>3 cassées dans la cave
Assez amer. Je suis plutôt déçu car je le trouvais meilleur quand je l'avais acheter.
J'étais dur il y a 10 jours. Il passe plutôt bien et vu le prix, on ne pouvait pas attendre mieux</t>
  </si>
  <si>
    <t>Domaine Grangier</t>
  </si>
  <si>
    <t>Saint Joseph</t>
  </si>
  <si>
    <t>Côtes Granits</t>
  </si>
  <si>
    <t>Syrah</t>
  </si>
  <si>
    <t>29/01/2021
02/05/2021
17/05/2023
26/01/2025</t>
  </si>
  <si>
    <t>4
4
-
4</t>
  </si>
  <si>
    <t>Pour goûter. Vraiment très prometteur. Peut-être attendre encore 2/3 ans...
Avec Nico et Manu. Il était bon.
Offert à Jessie et Mathieu
Avec Greg et Anne-Laure. On a bien aimé</t>
  </si>
  <si>
    <t>Domaine Raymond Usseglio</t>
  </si>
  <si>
    <t>Cuvée Impériale</t>
  </si>
  <si>
    <t>23/04/2025
23/04/2025</t>
  </si>
  <si>
    <t>0
3</t>
  </si>
  <si>
    <t>Avec Mika et Marine. Bouchonnée
Avec Mika et Marine. Correct mais vu le prix et les avis, nous ne l'avons pas trouvé exceptionnel</t>
  </si>
  <si>
    <t>Avec Anne-Laure et Greg. Correct mais sans plus. La grande cuvée était exceptionnel, celui là est très basique</t>
  </si>
  <si>
    <t>Luyton Fleury</t>
  </si>
  <si>
    <t>24/09/2022
26/01/2024</t>
  </si>
  <si>
    <t>4,5
4</t>
  </si>
  <si>
    <t>Avec Delphine. Carafé avant. Très bon et très fruité
Au ski avec les mecs. J'aime toujours bien</t>
  </si>
  <si>
    <t>Nicolas Theuriet</t>
  </si>
  <si>
    <t>Marsannay</t>
  </si>
  <si>
    <t>31/12/2023
25/08/2024</t>
  </si>
  <si>
    <t>Nouvel an en Bourgogne avec les potes. J'ai adoré, Nico aussi. Très fruité, assez suave et quand même puissant
Avec les parents de Cécile. On a tous adoré</t>
  </si>
  <si>
    <t>Cuvée Célina</t>
  </si>
  <si>
    <t>Bu avec Math et Jess pour l'anniversaire de Cécile. Prometteur mais trop jeune</t>
  </si>
  <si>
    <t>Domaine Rois Mages</t>
  </si>
  <si>
    <t>01/04/2023
05/04/2025</t>
  </si>
  <si>
    <t>Avec Kev et; Sarah
Avec Mehdi. On a beaucoup aimé</t>
  </si>
  <si>
    <t>Clos du Moulin à Vent</t>
  </si>
  <si>
    <t>Avec Mika et Marine, ils ont aimé. Moi aussi mais je préfère l'autre</t>
  </si>
  <si>
    <t>La Crimas de Sy</t>
  </si>
  <si>
    <t>Crozes - Hermitage</t>
  </si>
  <si>
    <t>Avec Nico et Cécile, sur un riz cantonnais et brochette poulet citronnelle gingembre. Très bon association et on a tous adoré. Il faudrait en racheter</t>
  </si>
  <si>
    <t>Domaine Masse</t>
  </si>
  <si>
    <t>La Brûlée</t>
  </si>
  <si>
    <t>Croix de Montceau</t>
  </si>
  <si>
    <t>22/02/2025
21/03/2025</t>
  </si>
  <si>
    <t>Avec les parents de Cécile qui l'ont trouvé extraordinaire
Avec Tanja, toujours très bon</t>
  </si>
  <si>
    <t>Jean François Trichard</t>
  </si>
  <si>
    <t>Mâcon - Chaintré</t>
  </si>
  <si>
    <t>Domaine des Pierres</t>
  </si>
  <si>
    <t>13/02/2025
26/04/2025</t>
  </si>
  <si>
    <t>3
2</t>
  </si>
  <si>
    <t>Avec Cécile. Déçu le premier jour mais meilleur le second
Chez Math et Jess pour les 40 ans de Math. Ne pas racheter je n'ai pas aimé du tout</t>
  </si>
  <si>
    <t>Avec Michel</t>
  </si>
  <si>
    <t>Trentino</t>
  </si>
  <si>
    <t>Très bien. On adore le Pinot Grigio avec Cécile</t>
  </si>
  <si>
    <t>Silène des Peyrals</t>
  </si>
  <si>
    <t>Grès de Montpellier</t>
  </si>
  <si>
    <t>Mas du Silène</t>
  </si>
  <si>
    <t>Grenache Noir, Mourvèdre, Syrah</t>
  </si>
  <si>
    <t>Henri de Villamont</t>
  </si>
  <si>
    <t>Pouilly Fuissé</t>
  </si>
  <si>
    <t>Grumes d'Or</t>
  </si>
  <si>
    <t>30/04/2020
23/05/2020
25/11/2022</t>
  </si>
  <si>
    <t>4,5
4,5
4,5</t>
  </si>
  <si>
    <t>Rond. Très bon Chardonnay
Week-end avec Marine et Mika à Pontault-Combault. J'aime toujours beaucoup, et mieux que celui acheté en salon
Soirée raclette avec Nico, Claire Cécile. On a tous adoré. Bu à l'apéro</t>
  </si>
  <si>
    <t>Château Chasse-Spleen</t>
  </si>
  <si>
    <t>Moulis en Médoc</t>
  </si>
  <si>
    <t>L'Oratoire</t>
  </si>
  <si>
    <t>Cabernet Sauvignon, Merlot, Petit Verdot</t>
  </si>
  <si>
    <t>Cadeau Interforum</t>
  </si>
  <si>
    <t>Louis Jadot</t>
  </si>
  <si>
    <t>Aloxe - Corton</t>
  </si>
  <si>
    <t>11/08/2019
23/11/2023</t>
  </si>
  <si>
    <t>Bu avec Mika. Trop acide, mais cela s'atténue avec le temps (au moins 2h). Cela reste trop quand même mais belle attaque. A voir dans quelques années
Thanksgiving avec Nico et Vangélis. Correct, mais sans plus avec purée de patate douce orange clou de girofle. Trop banal du coup</t>
  </si>
  <si>
    <t>Domaine de Bénéjou</t>
  </si>
  <si>
    <t>Cahors</t>
  </si>
  <si>
    <t>Côt Noir, Merlot, Tannat</t>
  </si>
  <si>
    <t>05/10/2020
22/12/2020</t>
  </si>
  <si>
    <t>Tout seul. Très correct mais rien d'exceptionnel non plus. Pas énormément de corps mais goût agréable. Bon rapport qualité prix.
Même avis</t>
  </si>
  <si>
    <t>Trois Cazelles</t>
  </si>
  <si>
    <t>Expression</t>
  </si>
  <si>
    <t>Bu avec poulet roti purée choux fleur. Cécile et Claire des Bois l'on trouvé correct. Je ne l'ai pas trop aimé. Un peu mieux avec le poulet mais je m'attendais à mieux</t>
  </si>
  <si>
    <t>Vraiment pas mal avec des pâtes carbo</t>
  </si>
  <si>
    <t>Irancy</t>
  </si>
  <si>
    <t>Vendanges manuelles</t>
  </si>
  <si>
    <t>14
14</t>
  </si>
  <si>
    <t>Marché
Marché</t>
  </si>
  <si>
    <t>16/11/2019
15/02/2020</t>
  </si>
  <si>
    <t>14/03/2020
31/10/2022</t>
  </si>
  <si>
    <t>Bu avec Nico Marc et Yannick. Très correct même si relativement léger
Avec les parents de Cécile. Trop vieux car goût de fruits confits. Cécile a aimé, moi pas trop car pas assez léger. Les parents je ne pense pas</t>
  </si>
  <si>
    <t>Les Herbes Hautes</t>
  </si>
  <si>
    <t>Pour vider la cave. Très correct. Semble léger malgré 14,5%, fruité, mais pas de longueur en bouche</t>
  </si>
  <si>
    <t>Leon Baur</t>
  </si>
  <si>
    <t>Alsace Riesling</t>
  </si>
  <si>
    <t>Cuvée Elisabeth Stumpf</t>
  </si>
  <si>
    <t>Cave Saint Désirat</t>
  </si>
  <si>
    <t>Cadeau Jean</t>
  </si>
  <si>
    <t>Domaine FL</t>
  </si>
  <si>
    <t>Anjou Chenin</t>
  </si>
  <si>
    <t>Les Bergères</t>
  </si>
  <si>
    <t>Bien. Pétille un peu au début, mas a bien aérer pour chasser le gaz</t>
  </si>
  <si>
    <t>Domaine Miramont</t>
  </si>
  <si>
    <t>Vacqueyras</t>
  </si>
  <si>
    <t>Domaine Renaud</t>
  </si>
  <si>
    <t>Bu avec les parents. Très bon Pouilly Fumé, minéral mais quand même bien fruité</t>
  </si>
  <si>
    <t>Domaine Belle</t>
  </si>
  <si>
    <t>Roche Pierre</t>
  </si>
  <si>
    <t>Domaine Michelas St Jemms</t>
  </si>
  <si>
    <t>La Chasselière</t>
  </si>
  <si>
    <t>Avec Nico et Cécile sur saumon fumé. Très bon</t>
  </si>
  <si>
    <t>Avec les voisins du 5ème</t>
  </si>
  <si>
    <t>Château de Le Chaize</t>
  </si>
  <si>
    <t>Moulin Favre</t>
  </si>
  <si>
    <t>FAV Monoprix</t>
  </si>
  <si>
    <t>Château Latour-Martillac</t>
  </si>
  <si>
    <t>Grand cru classé</t>
  </si>
  <si>
    <t>Avec Mika/Marine/Nico/Cécile. Soirée oenologie. Très bon surtout en mangeant thon/saint Moret. Cécile n'aime pas trop. Goût de pêche. Peut-être un poil trop acide ?</t>
  </si>
  <si>
    <t>Château Saint Eugène</t>
  </si>
  <si>
    <t>Martillac</t>
  </si>
  <si>
    <t>15/08/2019
12/10/2019</t>
  </si>
  <si>
    <t>Une bouteille offerte aux parents de Cécile pour remercier de l'accueil en vacances
Crémaillère Manu. Très bon, assez léger mais arômes très agréables.</t>
  </si>
  <si>
    <t>Château Tour Prignac</t>
  </si>
  <si>
    <t>Médoc</t>
  </si>
  <si>
    <t>Merlot, Cabernet Sauvignon, Petit Verdot</t>
  </si>
  <si>
    <t>Sans réel intérêt</t>
  </si>
  <si>
    <t>Château Lestage</t>
  </si>
  <si>
    <t>Chêne-Besson</t>
  </si>
  <si>
    <t>20/01/2023
14/10/2023</t>
  </si>
  <si>
    <t>Promo sinon 17,90 la bouteille. Correct mais peut être laisser la dernière encore quelques années en cave
Correct. Tout seul avec un plat grec</t>
  </si>
  <si>
    <t>Pas noté</t>
  </si>
  <si>
    <t>Le sentier</t>
  </si>
  <si>
    <t>Super vin, fruité et pas trop fort. Avec Papou et Nanou qui ont adoré</t>
  </si>
  <si>
    <t>Tussock Jumper</t>
  </si>
  <si>
    <t>Malbec</t>
  </si>
  <si>
    <t>San Juan, Argentine</t>
  </si>
  <si>
    <t>Pris pour les vacances. Pas mal surtout pour ce niveau de prix, Avec un poulet rôti et une purée maison</t>
  </si>
  <si>
    <t>Domaine Haut Maginiai</t>
  </si>
  <si>
    <t>Grande Réserve</t>
  </si>
  <si>
    <t>La Prieuré</t>
  </si>
  <si>
    <t>Pas mal pour un corbière</t>
  </si>
  <si>
    <t>Vendanges Manuelles</t>
  </si>
  <si>
    <t>Chassagne - Montrachet</t>
  </si>
  <si>
    <t>Avec Nico et Vangélis sur un veau Orloff. Pas mal comme association, bon vin, mais pas exceptionnel non plus. Légèrement perlé.</t>
  </si>
  <si>
    <t>Derey Frères</t>
  </si>
  <si>
    <t>Les Vignes Marie</t>
  </si>
  <si>
    <t>Domaine Le Martinat</t>
  </si>
  <si>
    <t>Pécharmant</t>
  </si>
  <si>
    <t>Cuvée Marguerite</t>
  </si>
  <si>
    <t>Pas bon</t>
  </si>
  <si>
    <t>Thanksgiving avec Nico et Vangélis. Correct mais je l'ai trouvé un peu trop agressif à mon goût. Je crois que j'avais préféré le 2019</t>
  </si>
  <si>
    <t>Mouton Père et Fils</t>
  </si>
  <si>
    <t>Condrieu</t>
  </si>
  <si>
    <t>Côte Chatillon</t>
  </si>
  <si>
    <t>Viognier</t>
  </si>
  <si>
    <t>Soirée oenologie avec Mika Claire Nico Vangélis et Cécile. N'a pas convaincu, un peu amer et le viognier ne semble pas être un cépage apprécié de mes amis</t>
  </si>
  <si>
    <t>Château Saint-Cels</t>
  </si>
  <si>
    <t>Saint Chinian</t>
  </si>
  <si>
    <t>Carignan, Cinsault, Syrah</t>
  </si>
  <si>
    <t>De mémoire sans intérêt</t>
  </si>
  <si>
    <t>Chanlin</t>
  </si>
  <si>
    <t>Nudant</t>
  </si>
  <si>
    <t>Ladoix</t>
  </si>
  <si>
    <t>Les Buis</t>
  </si>
  <si>
    <t>15/01/2023
26/07/2023</t>
  </si>
  <si>
    <t>Avec Mika et Nico sur un poulet roti frites. On a adoré. Carafé 2h avant.
Avec mes parents qui gardaient Roman. Ils ont beaucoup aimé sur un poulet frite. Carafé avant</t>
  </si>
  <si>
    <t>Château La Mouline</t>
  </si>
  <si>
    <t>Cru Bourgeois</t>
  </si>
  <si>
    <t>15/12/2021
24/01/2025</t>
  </si>
  <si>
    <t>Correct mais léger et pas de longueur en bouche. Ce n'est pas le Moulis en Médoc à racheter
Même avis que précédemment</t>
  </si>
  <si>
    <t>Château de Rouffiac</t>
  </si>
  <si>
    <t>La Passion</t>
  </si>
  <si>
    <t>Malbec, Merlot, Tannat</t>
  </si>
  <si>
    <t>29/12/2022
12/02/2023</t>
  </si>
  <si>
    <t>Offert à Mathieu et Jess
Avec les parents sur un rôti de boeuf. Très bon, fruité.</t>
  </si>
  <si>
    <t>Château Ferrande</t>
  </si>
  <si>
    <t>Graves</t>
  </si>
  <si>
    <t>20/02/2025
11/05/2025</t>
  </si>
  <si>
    <t>Correct
Tout seul, correct</t>
  </si>
  <si>
    <t>Domaine Chanson</t>
  </si>
  <si>
    <t>Grand Enclos du Château de Cérons</t>
  </si>
  <si>
    <t>Sémillon, Sauvignon Blanc, Muscadelle</t>
  </si>
  <si>
    <t>13/06/2020
14/12/2021
02/04/2022
17/11/2022
07/04/2023
17/05/2023</t>
  </si>
  <si>
    <t>4,5
4
4
4
4
-</t>
  </si>
  <si>
    <t>Bu en normandie avec Mika et Marine. J'ai beaucoup aimé. Etonnament, il ressemble à du Chardonnay je trouve. Association fruits de mer pas top top en revanche
Bu avec Mathieu à la maison et très bon
Anniversaire de Claire D.
Avec Isa soirée beaujo nouveau. J'aime toujours bien ce vin blanc mais Cécile non, elle le trouve trop liquoreux. En général elle n'est pas Bordeaux Blanc
Avec Tanja et Séverine
Offert à Jessie et Mathieu</t>
  </si>
  <si>
    <t>Correct mais un peu chaud par cette canicule</t>
  </si>
  <si>
    <t>Château Jean Faure</t>
  </si>
  <si>
    <t>Saint Emilion</t>
  </si>
  <si>
    <t>La Réserve</t>
  </si>
  <si>
    <t>Cabernet Franc, Merlot</t>
  </si>
  <si>
    <t>Tout seul pour faire tourner la cava. Très correct entre 3,5 et 4</t>
  </si>
  <si>
    <t>Domaine Ninot</t>
  </si>
  <si>
    <t>Avec Papou et Nanou qui adorent toujours ce Saint Véran</t>
  </si>
  <si>
    <t>Domaine du Château de Vergisson</t>
  </si>
  <si>
    <t>Pouilly - Fuissé</t>
  </si>
  <si>
    <t>Sur la Roche</t>
  </si>
  <si>
    <t>26/03/2020
08/05/2020</t>
  </si>
  <si>
    <t>Bu en apéro virtuel avec Maxence et sa copine. Très bon :)
Chez Marine avec Mika suite confinement. J'ai moins aimé que la fois précédente. Mika et moi avons trouvé un arrière goût amer pas très agréable. Marine a adoré</t>
  </si>
  <si>
    <t>Château Lamartine</t>
  </si>
  <si>
    <t>Cuvée Particulière</t>
  </si>
  <si>
    <t>24/09/2021
24/12/2021
02/04/2021
22/12/2022
15/11/2023</t>
  </si>
  <si>
    <t>Tout seul pour me faire un avis. Pas mal, peut encore être gardé un peu.
Anniversaire de Claire D.
Très bien, tanins fondus
Avec mes parents et des spaghettis aux lardons. Je l'ai trouvé très bon. Pas eu de commentaire</t>
  </si>
  <si>
    <t>L'Excellence de Germignan</t>
  </si>
  <si>
    <t>Pas bon, le goût n'a pas d'intérêt et il ne reste pas en bouche</t>
  </si>
  <si>
    <t>Grand Crès</t>
  </si>
  <si>
    <t>Cuvée Majeure</t>
  </si>
  <si>
    <t>Cave de Tain</t>
  </si>
  <si>
    <t>Nuit Blanche</t>
  </si>
  <si>
    <t>Cadeau C.Desbois</t>
  </si>
  <si>
    <t>Château Couhins</t>
  </si>
  <si>
    <t>La Dame des Couhins</t>
  </si>
  <si>
    <t>Château Maucaillou</t>
  </si>
  <si>
    <t>No. 2 de Maucaillou</t>
  </si>
  <si>
    <t>Très bon moulis qui a des tanins fondus et qui est fruité avec une belle longueur en bouche. J'ai beaucoup aimé. A racheter car très bon rapport qualité/prix</t>
  </si>
  <si>
    <t>Domaine Cheveau</t>
  </si>
  <si>
    <t>Les vieilles vignes</t>
  </si>
  <si>
    <t>25/07/2020
12/08/2020
21/09/2020
07/12/2020
25/11/2022
07/04/2023</t>
  </si>
  <si>
    <t>4,5
4,5
4,5
4,5
4
4</t>
  </si>
  <si>
    <t>Avec Mika et Marine. Très bon Pouilly Fuissé. Mérite peut être de vieillir encore un peu
Avec Maxence et Anais. Même avis
Avec Mélissa. Toujours aussi bon
Avec Nico
Soirée raclette avec Nico, Claire Cécile. Je n'en ai pas pris mais il a l'air d'avoir plu. Moins que le grume d'or
Avec Tanja et Séverine</t>
  </si>
  <si>
    <t>29/12/2022
29/01/2023</t>
  </si>
  <si>
    <t>Chez Mathieu et Jess. J'ai apprécié
Chez chouch et mag avec un cevice</t>
  </si>
  <si>
    <t>Crescendo</t>
  </si>
  <si>
    <t>L'impertinente Pirate</t>
  </si>
  <si>
    <t>22/09/2024
18/05/2025</t>
  </si>
  <si>
    <t>Vraiment correct comme on l'avait vendu, c'est à dire Bordeau léger à la manière d'un vin de Loire</t>
  </si>
  <si>
    <t>Domaine des Ouches</t>
  </si>
  <si>
    <t>Bourgueil</t>
  </si>
  <si>
    <t>Les Perruches</t>
  </si>
  <si>
    <t>Cabernet Franc, Cabernet Sauvignon</t>
  </si>
  <si>
    <t>01/05/2020
03/05/2020
07/12/2020
30/07/2021
24/05/2023</t>
  </si>
  <si>
    <t>4
4
4
4
3,5</t>
  </si>
  <si>
    <t>Chez nous en confinement
Pour les deux bouteilles, en mai 2020. Passe très bien. Peut-être attendre encore un peu
Avec Nico
Chez Solène et Julien. Passe très bien
Avec Jessie, sur une brandade de Morue. Correct mais une pointe d'amertume peu agréable</t>
  </si>
  <si>
    <t>Château Sociando-Mallet</t>
  </si>
  <si>
    <t>Haut Médoc</t>
  </si>
  <si>
    <t>CAVE FAZ - POUR RAFAEL</t>
  </si>
  <si>
    <t>Tardieu-Laurent</t>
  </si>
  <si>
    <t>Côte Rotie</t>
  </si>
  <si>
    <t>Les Lauzières</t>
  </si>
  <si>
    <t>Syrah, Viognier</t>
  </si>
  <si>
    <t>Soirée oenologie avec Mika, Claire, Nico, Vangélis et Cécile. Vangélis a préféré ce vin. On a bien aimé mais peut être une point d'amer sur la fin que j'aurais aimé ne pas avoir</t>
  </si>
  <si>
    <t>Domaine Diconne</t>
  </si>
  <si>
    <t>Meursault</t>
  </si>
  <si>
    <t>Les Narvaux</t>
  </si>
  <si>
    <t>Château Haut-Fonrazade</t>
  </si>
  <si>
    <t>Saint Emilion Grand cru</t>
  </si>
  <si>
    <t>Maison Carles</t>
  </si>
  <si>
    <t>23/04/2019
09/06/2019
10/10/2025</t>
  </si>
  <si>
    <t>4,5
3</t>
  </si>
  <si>
    <t>Chez Cécile avec ses parents. tanins non astringents. Légère acidité.
Doit pouvoir être gardé 2 ou 3 Ans de plus. Très bon
1 bouteille cassée dans la cave
Tout seul. Très costaud et pas foufou. Sûrement un peu trop vieux car beaucoup de dépôt et bouchon trop sec</t>
  </si>
  <si>
    <t>Château Croix de Reverdi</t>
  </si>
  <si>
    <t>Très correct vu le prix mais pas un grand vin non plus</t>
  </si>
  <si>
    <t>Château Meyre</t>
  </si>
  <si>
    <t>Il faut qu'il s'ouvre. Mais très bien avec une entrecote</t>
  </si>
  <si>
    <t>Chanson</t>
  </si>
  <si>
    <t>Gevrey - Chambertin</t>
  </si>
  <si>
    <t>Domaine des Pierres Meslieres</t>
  </si>
  <si>
    <t>Coteaux d'Ancenis</t>
  </si>
  <si>
    <t>Malvoisie</t>
  </si>
  <si>
    <t>Mika</t>
  </si>
  <si>
    <t>Chez Mathieu et Jess. Que Cécile et moi qui avons bu. Cécile a bien aimé même si demi-sec. Moi j'ai trouvé correct car pas trop sucré, mais pas non plus super</t>
  </si>
  <si>
    <t>Domaine Fussiacus Vieilles Vignes</t>
  </si>
  <si>
    <t>05/02/2022
06/04/2024</t>
  </si>
  <si>
    <t>Avec Matthieu. Très correct mais j'avais un meilleur souvenir en salon
Avec Mika et Marine. On a tous bien aimé, même Mika qui n'est pas très blanc. Marine adore le Pouilly Fuissé</t>
  </si>
  <si>
    <t>Sylvie et Gilles Guerrin</t>
  </si>
  <si>
    <t>Cuvée Maëlys</t>
  </si>
  <si>
    <t>10/05/2023
04/02/2024</t>
  </si>
  <si>
    <t>Avec Maxence et Anaïs. Très bon
A la maison soirée vins grec mais blanc fançais. Top, un peu boisé. On a bien aimé</t>
  </si>
  <si>
    <t>Gérard Seguin</t>
  </si>
  <si>
    <t>Château Combarieu</t>
  </si>
  <si>
    <t>Pas bon. Aucun intérêt, on dirait de la piquette</t>
  </si>
  <si>
    <t>Chorey Lès Beaune</t>
  </si>
  <si>
    <t>Avec Papou et Nanou qui ne l'ont pas trouvé fou. Moi j'ai adoré. Sur un pot au feu</t>
  </si>
  <si>
    <t>Château La Louvière</t>
  </si>
  <si>
    <t>Nouvel an avec Chouch Mag Nico et Cécile. J'en avais un meilleur souvenir chez Dédé. Peut-être pas assez décanté</t>
  </si>
  <si>
    <t>Domaine du Vieux Collège</t>
  </si>
  <si>
    <t>Fixin</t>
  </si>
  <si>
    <t>Les Champs des Charmes</t>
  </si>
  <si>
    <t>Château d'Arcins</t>
  </si>
  <si>
    <t>Trop costaud à l'attaque. Ils disent de laisser aérer 2h avant et je pense que ce serait mieux. Sinon goût de haut médoc intéressant</t>
  </si>
  <si>
    <t>Château Eugénie</t>
  </si>
  <si>
    <t>Réserve de l'Aïeul</t>
  </si>
  <si>
    <t>Haute Collection</t>
  </si>
  <si>
    <t>02/08/2021
24/03/2023</t>
  </si>
  <si>
    <t>Bu avec Cynthia. Cécile et moi avons beaucoup aimé. Ouvert 1h30 avant. Très bon accord avec roti de dinde forestier au lard
Avec mes parents sur un rôti au pruneau. Carafé 2h avant. Très bon</t>
  </si>
  <si>
    <t>Château Simard</t>
  </si>
  <si>
    <t>Bu après 4h de décantation. Correct mais un peu déçu pour un grand cru. Je préfère le Haut Fonrazade</t>
  </si>
  <si>
    <t>Olivier</t>
  </si>
  <si>
    <t>Saint Nicolas de Bourgueil</t>
  </si>
  <si>
    <t>Cuvée du Mont des Oliviers</t>
  </si>
  <si>
    <t>16/04/2020
29/04/2020</t>
  </si>
  <si>
    <t>Bon Saint Nicolas. Je l'avais apprécié au salon, et je le trouve toujours bon plus d'un an après. Prix très correct
En confinement à la maison. Toujours bien. Léger et agréable</t>
  </si>
  <si>
    <t>Chateau Brown</t>
  </si>
  <si>
    <t>Avec Mika et Marine. Très bon</t>
  </si>
  <si>
    <t>Domaine Alain Patriarche</t>
  </si>
  <si>
    <t>Les Tillets</t>
  </si>
  <si>
    <t>Domaine Chopin Gautier</t>
  </si>
  <si>
    <t>Nuits Saint Georges</t>
  </si>
  <si>
    <t>Avec Mika, Marine, Nico, Vangelis. Très bien surtout après le nuiton beaunoy bouchonné</t>
  </si>
  <si>
    <t>Bouchonné</t>
  </si>
  <si>
    <t>Shaw + Smith</t>
  </si>
  <si>
    <t>Shiraz</t>
  </si>
  <si>
    <t>Adelaide Hills, Australie</t>
  </si>
  <si>
    <t>Domaine Nudant</t>
  </si>
  <si>
    <t>Monthélie</t>
  </si>
  <si>
    <t>Vosne - Romanée</t>
  </si>
  <si>
    <t>Château La Tour Carnet</t>
  </si>
  <si>
    <t>Valap Primeur</t>
  </si>
  <si>
    <t>Morey - Saint Denis</t>
  </si>
  <si>
    <t>Les Chaffots</t>
  </si>
  <si>
    <t>Ma passion Manu Pinto Malbec</t>
  </si>
  <si>
    <t>Château Pierhem</t>
  </si>
  <si>
    <t>Pomerol</t>
  </si>
  <si>
    <t>Merlot, Cabernet Franc, Petit Verdot</t>
  </si>
  <si>
    <t>Château Cormeil-Figeac</t>
  </si>
  <si>
    <t>Château Paveil de Luze</t>
  </si>
  <si>
    <t>Margaux</t>
  </si>
  <si>
    <t>Bu avec Mika et Marine et un poulet roti aux pommes de terre. Très bon. Avait été carafé 2h avant et c'était nécessaire. Très adapaté à ce plat</t>
  </si>
  <si>
    <t>Domaine Amirault</t>
  </si>
  <si>
    <t>Les Gravilices</t>
  </si>
  <si>
    <t>Avec Cécile, sur une paupiette de veau. Il semble avoir vieillit trop vite, je lui trouve un goût de champignon. Cécile voit du cranberries</t>
  </si>
  <si>
    <t>Vieux Château Perey</t>
  </si>
  <si>
    <t>11/08/2019
22/04/2020
23/03/2022
12/07/2023
31/12/2023
13/01/2024</t>
  </si>
  <si>
    <t>3
3,5
4
3,5
2
3</t>
  </si>
  <si>
    <t>Peu de longueur en bouche mais vin correcte. Tanins un peu astreingeant mais meilleur le lendemain. Légère acidité qui pourrait indiquer une garde plus prolongée
Je l'ai préféré à la dernière fois. On reconnait le saint émilion. Pas trop de longueur mais correct quand même. Bien aérer au moins 2h avant de la boire.
Bon goût mais un peu trop acide. Cécile n'aime pas trop, moi j'ai aimé en mangeant. Meilleur qu'à mes souvenirs
Très correct mais manque de caractère, Tout seul pour vider la cave. Avec une quiche lorraine donc pas adapté
Nouvel an en Bourgogne. Il a viré au champignon. Je n'aime pas ce type de vin
Pour finir suite à la dernière bouteille ratée. Toujours sur le déclein mais un peu moins champignon. Il n'est pas trop mal mais temps de le finir</t>
  </si>
  <si>
    <t>Pierre Desroches</t>
  </si>
  <si>
    <t>Au Vignerais</t>
  </si>
  <si>
    <t>Premier Cru</t>
  </si>
  <si>
    <t>Pierre Maizière</t>
  </si>
  <si>
    <t>Vincent Charache</t>
  </si>
  <si>
    <t>Pernand - Vergelesses</t>
  </si>
  <si>
    <t>Les Belles Filles</t>
  </si>
  <si>
    <t>Château Grand Ormeau</t>
  </si>
  <si>
    <t>Lalande de Pomerol</t>
  </si>
  <si>
    <t>Merlot, Cabernet Franc</t>
  </si>
  <si>
    <t>Cadeau Mika</t>
  </si>
  <si>
    <t>Avec Mika et Marine, très bon, on a tous beaucoup aimé</t>
  </si>
  <si>
    <t>Château Grand Corbin</t>
  </si>
  <si>
    <t>22/05/2020
24/07/2025</t>
  </si>
  <si>
    <t>En week-end avec Mika et Marine à Pontault-Combault. J'ai été légèrement déçu pour un grand cru classé. Mika a aimé. Il est bon mais pas assez long en bouche
Tout seul. Correct mais rien d'exceptionnel pour un grand cru classé</t>
  </si>
  <si>
    <t>Thomas Barton</t>
  </si>
  <si>
    <t>Saint Julien</t>
  </si>
  <si>
    <t>Réserve</t>
  </si>
  <si>
    <t>Château Chevrol Bel-Air</t>
  </si>
  <si>
    <t>Vrai Canon Bouché</t>
  </si>
  <si>
    <t>Canon - Fronsac</t>
  </si>
  <si>
    <t>Château La Bridane</t>
  </si>
  <si>
    <t>Cabernet Sauvignon, Cabernet France, Merlot</t>
  </si>
  <si>
    <t>Avec Mehdi, on a beaucoup aimé</t>
  </si>
  <si>
    <t>Avec Jess. Carafé 1h avant. Très bon</t>
  </si>
  <si>
    <t>Corton</t>
  </si>
  <si>
    <t>Les Maréchaudes</t>
  </si>
  <si>
    <t>Pommard</t>
  </si>
  <si>
    <t>30/06/2023
27/03/2025</t>
  </si>
  <si>
    <t>Anniversaire de Cécile avec Mathieu Jess, Nico et Vangélis. On n'a tous beaucoup aimé. Une petite raideur sur la fin qui passera peut être avec 1 ou 2 ans de plus
Avec Mika et Marine. J'ai trouvé qu'il était sur le déclin</t>
  </si>
  <si>
    <t>Château d'Arsac</t>
  </si>
  <si>
    <t>Très bon. Sera sûrement parfait avec quelques années en plus. A racheter. Les tanins sont légers et le vin s'associe parfaitement au fromage</t>
  </si>
  <si>
    <t>Château Tour des Termes</t>
  </si>
  <si>
    <t>Saint Estèphe</t>
  </si>
  <si>
    <t>Avec Mika. Correct mais sans plus. Certainement qu'il aurait meilleur un peu plus tôt</t>
  </si>
  <si>
    <t>Château Lynch-Bages</t>
  </si>
  <si>
    <t>Pauillac</t>
  </si>
  <si>
    <t>Echo de Lynch-Bages</t>
  </si>
  <si>
    <t>Château Moulin Delille</t>
  </si>
  <si>
    <t>Avec Jessie et Cécile. Pas super. Pas trop de corps et semble un peu vert alors que millésime 2014</t>
  </si>
  <si>
    <t>Château Mazeyres</t>
  </si>
  <si>
    <t>09/06/2019
23/07/2021</t>
  </si>
  <si>
    <t>Une cassée dans la cave et une bue car goulot fêlé. Très bonne. Mérite de vieillir.
Soirée Oenologie à Garches. Moins aimé que la dernière fois. Correct mais on aurait dû ouvrir la bouteille avant. Cécile et Marine ont aimé.</t>
  </si>
  <si>
    <t>Château Prieuré-Lichine</t>
  </si>
  <si>
    <t>Erreur d'étiquetage. 33,5€ à la base</t>
  </si>
  <si>
    <t>Château Sanctus</t>
  </si>
  <si>
    <t>La Bienfaisance</t>
  </si>
  <si>
    <t>Tanins fondus mais bien présents. Fruité et puissant. Pas mal du tout</t>
  </si>
  <si>
    <t>Château Talbot</t>
  </si>
  <si>
    <t>Connétable</t>
  </si>
  <si>
    <t>Château Léo de Prades</t>
  </si>
  <si>
    <t>05/10/2019
26/12/2019</t>
  </si>
  <si>
    <t>Avec Mika et Cécile pour annoncer notre mariage. Mis au frigo un peu avant, puis carafé une bonne heure. On a beaucoup aimé avec du fromage. Tanins peu prononcés
Pour noël avec la famille de Cécile. Sans plus surtout après le chateau haut coteau. Surnoté la première fois à mon sens. Mais cette fois ci, bu direct après ouverture</t>
  </si>
  <si>
    <t>Virely Arcelain</t>
  </si>
  <si>
    <t>Amirault Grosbois</t>
  </si>
  <si>
    <t>Les Hauts Gagnés</t>
  </si>
  <si>
    <t>Alexandre Sirech</t>
  </si>
  <si>
    <t>La Closerie de Lalande</t>
  </si>
  <si>
    <t>18/01/2020
25/06/2022
16/09/2023
04/10/2024</t>
  </si>
  <si>
    <t>12 au prix de 6 car Valap s'est trompé dans la livraison. Semble prometteur mais trop jeune; Odeur d'herbe sauvage, j'aime bien, mais pour le moment, trop d'amertume
1 offert à Monique et Constant pour leur accueil
Tout seul pour voir l'avancée. Encore un peu trop acide donc je pense qu'il doit encore vieillir. Par contre tiens bien le coup sur un cassoulet
Avec Jess. Correct mais pas trop de longueur en bouche
Avec Claire. On a beaucoup aimé. Carafé 2 heures avant</t>
  </si>
  <si>
    <t>Jean-Claude Fabris</t>
  </si>
  <si>
    <t>Domaine du Petit-Brouard</t>
  </si>
  <si>
    <t>Clos René</t>
  </si>
  <si>
    <t>Soirée oenologie avec Mika Claire Nico Vangélis et Cécile. Bon Pomerol même si j'en ai gouté des meilleurs</t>
  </si>
  <si>
    <t>Avec Mika et Marine. J'ai beaucoup aimé. Je pense qu'il est très prometteur</t>
  </si>
  <si>
    <t>Château Haut Coteau</t>
  </si>
  <si>
    <t>Salon (2)
Web (6)</t>
  </si>
  <si>
    <t>24/03/2019
31/01/2020</t>
  </si>
  <si>
    <t>12/10/2019
26/12/2019
08/02/2020
22/10/2021
01/11/2023</t>
  </si>
  <si>
    <t xml:space="preserve">4,5
4,5
4
4
</t>
  </si>
  <si>
    <t>Crémaillère Manu. Très bon mais après un petit passage par une carafe. Il a fait l'unanimité.
Pour noël avec la famille de Cécile. Il a encore fait l'unanimité. A racheter au prochain salon
Avec mes parents. Un peu déçu, pas eux. Mais je l'ai trouvé un cran en dessous des précédents. A garder au moins 5/10 ans encore
Avec Jessie et Matthieu. Toujours aussi sympa
Une offerte à Matthieu et Jess</t>
  </si>
  <si>
    <t>BazarChic</t>
  </si>
  <si>
    <t>Avec Matthieu. Très bien car carafé 2h avant</t>
  </si>
  <si>
    <t>Les Chanlins-Bas</t>
  </si>
  <si>
    <t>Château Laffite-Carcasset</t>
  </si>
  <si>
    <t>Château Serilhan</t>
  </si>
  <si>
    <t>Avec Fred et Mel. Fred a beaucoup aimé, Cécile et moi aussi. Peut-être un peu trop léger, mais vraiment bon</t>
  </si>
  <si>
    <t>Château Bel-Air</t>
  </si>
  <si>
    <t>Château L'Ermitage de Bel-Air</t>
  </si>
  <si>
    <t>Cadeau Claire</t>
  </si>
  <si>
    <t>Château Branaire-Ducru</t>
  </si>
  <si>
    <t>Bénéjou</t>
  </si>
  <si>
    <t>Vin de France</t>
  </si>
  <si>
    <t>Bu avec Cécile. Finalement, j'avais préféré au marché. Un arrière goût plutôt amer. Ne pas racheter.</t>
  </si>
  <si>
    <t>Billecart-Salmon</t>
  </si>
  <si>
    <t>Brut Réserver</t>
  </si>
  <si>
    <t>Cadeau Coyote</t>
  </si>
  <si>
    <t>Anniversaire de Cécile avec Jess Mathieu, Nico et Vangélis. On l'a trouvé très bon</t>
  </si>
  <si>
    <t>Casa de Vila Nova</t>
  </si>
  <si>
    <t>Vinho Verde</t>
  </si>
  <si>
    <t>Rios do Minho</t>
  </si>
  <si>
    <t>21/12/2019
31/01/2020
27/02/2020</t>
  </si>
  <si>
    <t xml:space="preserve">
4
4</t>
  </si>
  <si>
    <t>Soirée chez Véro et Jay avec Vaness et Vinvin. Je n'y ai pas gouté
Très bien pour un Vino Verde
Bu avec Cécile. Passe toujours très bien</t>
  </si>
  <si>
    <t>20/03/2020
21/04/2023
17/07/2023</t>
  </si>
  <si>
    <t>Bon Vinho verde
Bien pour un Vinho verde
Avec Cécile pour l'apéro</t>
  </si>
  <si>
    <t>Callabriga</t>
  </si>
  <si>
    <t>Touriga Franca, Touriga National, Tinta Roriz</t>
  </si>
  <si>
    <t>Très correct. Apéro avec Cécile</t>
  </si>
  <si>
    <t>Rosé Pirate</t>
  </si>
  <si>
    <t>Trop sec et pas assez fruité/sucré pour moi.</t>
  </si>
  <si>
    <t>Damoiselles Fricot</t>
  </si>
  <si>
    <t>18/08/2019
14/06/2021
31/12/2021</t>
  </si>
  <si>
    <t>5
5
4</t>
  </si>
  <si>
    <t>Toujours aussi bon. Pour fêter ma demande en marriage faite le 16/08/2019
Pour fêter la signature de l'appartement pour que je récupère les 30%
Nouvel an avec Chouch Mag Nico et Cécile. J'ai moins aimé que d'habitude. Je pense que ceux de Véro et Jay sont un cran au dessus</t>
  </si>
  <si>
    <t>Tout seul pour goûter. A carafer avant. Bon mais assez puissant</t>
  </si>
  <si>
    <t>El Enemigo</t>
  </si>
  <si>
    <t>Soirée Oenologie à Garches. Notre vin rouge préféré. Très épicé, Accroche légère mais reste bien en bouche.</t>
  </si>
  <si>
    <t>Forget Chemin</t>
  </si>
  <si>
    <t>Carte Blanche</t>
  </si>
  <si>
    <t>Pour l'anniversaire / galette chez Chouch</t>
  </si>
  <si>
    <t>Château Saint Estèphe</t>
  </si>
  <si>
    <t>M de Marianne Blanc de Noirs</t>
  </si>
  <si>
    <t>08/09/2019
12/10/2019</t>
  </si>
  <si>
    <t>Anniversaire Mel. J'ai été déçu car je ne le trouvais pas assez fruité. Il reste bon, mais je préfère grandement le damoiselle fricot
Crémaillère Manu</t>
  </si>
  <si>
    <t>Blanc de Blanc</t>
  </si>
  <si>
    <t>Anniversaire de Cécile. Bon champagne mais je préfère les demoiselles de Fricot</t>
  </si>
  <si>
    <t>Il Colle</t>
  </si>
  <si>
    <t>Prosecco</t>
  </si>
  <si>
    <t>Treviso Brut</t>
  </si>
  <si>
    <t>Anniversaire de Claire D. Correct, mais je m'attendais à mieux d'un caviste</t>
  </si>
  <si>
    <t>Klein Constantia</t>
  </si>
  <si>
    <t>Constantia, Afrique du Sud</t>
  </si>
  <si>
    <t>27/01/2024
30/08/2024</t>
  </si>
  <si>
    <t>Au ski avec les mecs. Pas mauvais dans l'absolu, mais un peu sucré donc pas à notre goût. Personne n'a aimé.
Avec les parents de Cécile. Michel n'a pas aimé, et moi pas trop non plus</t>
  </si>
  <si>
    <t>Château Grand Beausejour</t>
  </si>
  <si>
    <t>Plus une offerte pour l'anniversaire de Claire</t>
  </si>
  <si>
    <t>Pascal Fricot</t>
  </si>
  <si>
    <t>Damoiselles</t>
  </si>
  <si>
    <t>Chardonnay, Pinot Noir</t>
  </si>
  <si>
    <t>23/11/2024
29/12/2024
26/04/2025</t>
  </si>
  <si>
    <t>Amenée chez Véro &amp; Jay
Chez Math &amp; Jess
Chez Math &amp; Jess pour les 40 ans de Math</t>
  </si>
  <si>
    <t>Château Le Boscq</t>
  </si>
  <si>
    <t>L'authentique</t>
  </si>
  <si>
    <t>Apporté chez Math et Jess. On ne l'a pas bu</t>
  </si>
  <si>
    <t>L'Héritage Blanc de Blanc</t>
  </si>
  <si>
    <t>23/04/2022
30/06/2022</t>
  </si>
  <si>
    <t>Avec Cécile en weekend honfleur amoureux. Fin et aérien. Vraiment pas mal mais peut être un peu trop sucré
Bu un héritage avec Math et Jess pour anniv Cécile. Très bon</t>
  </si>
  <si>
    <t>Secret d'Or</t>
  </si>
  <si>
    <t>23/02/2019
17/07/2022</t>
  </si>
  <si>
    <t>05/10/2019
24/12/2022
23/12/2023</t>
  </si>
  <si>
    <t>4
4,5
4</t>
  </si>
  <si>
    <t>Avec Mika et Cécile pour annoncer notre mariage. Très bon champagne.
A noël avec mes parents qui l'ont bien aimé alors qu'ils n'aiment pas le blanc de blanc en principe
Offert à Noël aux parents de Cécile. On l'a tous bu ensemble. J'ai bien aimé mais un peu moins que la fois précédente, et les parents l'ont trouvé trop puissant</t>
  </si>
  <si>
    <t>Daniel Mouty</t>
  </si>
  <si>
    <t>Clos Saint-André</t>
  </si>
  <si>
    <t>Barão de Vilar</t>
  </si>
  <si>
    <t>Vilarissa Valley</t>
  </si>
  <si>
    <t>Cadeau Paolo</t>
  </si>
  <si>
    <t>Vinha Grande</t>
  </si>
  <si>
    <t>Domaine du Cardona</t>
  </si>
  <si>
    <t>Moretum</t>
  </si>
  <si>
    <t>Vieilli en Fût</t>
  </si>
  <si>
    <t>Mont Saint-Michel</t>
  </si>
  <si>
    <t>Crémant d'Alsace</t>
  </si>
  <si>
    <t>Cuvée St Pantaléon</t>
  </si>
  <si>
    <t>Pinot Blanc, Auxerrois, Pinot Gris</t>
  </si>
  <si>
    <t>Avec les parents de Cécile. Pas terrible, trop brut, ne pas racheter</t>
  </si>
  <si>
    <t>Trésor d'Etoiles Fuchsia</t>
  </si>
  <si>
    <t>Orange</t>
  </si>
  <si>
    <t>En famille à Renne. Ressemble à un vin cuit sucré (type porto). Parfait avec un foie gras.</t>
  </si>
  <si>
    <t>Chez Ada et Stef</t>
  </si>
  <si>
    <t>La puissance Blanc de Noirs</t>
  </si>
  <si>
    <t>Avec mes parents pour l'annonce de bébé. Nous l'avons vraiment adoré</t>
  </si>
  <si>
    <t>Le caractère Blanc de Noirs</t>
  </si>
  <si>
    <t>RANGEMENT 1</t>
  </si>
  <si>
    <t>RANGEMENT 2</t>
  </si>
  <si>
    <t>RANGEMENT 3</t>
  </si>
  <si>
    <t>Grand Crès (Cuvée Majeure) - Corbières - 2020</t>
  </si>
  <si>
    <t>Grand Crès (Crescendo) - Corbières - 2021</t>
  </si>
  <si>
    <t>Domaine de Monthélys (Ors de Schiste) - Faugères - 2019</t>
  </si>
  <si>
    <t>Domaine Haut Maginiai (Grande Réserve) - Languedoc Pic Saint Loup - 2024</t>
  </si>
  <si>
    <t>Nuiton-Beaunoy (Les Chaffots) - Morey - Saint Denis - 2022</t>
  </si>
  <si>
    <t>Louis Jadot - Aloxe - Corton - 2014</t>
  </si>
  <si>
    <t>Nuiton-Beaunoy (Les Maréchaudes) - Corton - 2020</t>
  </si>
  <si>
    <t>Neil Becede Vigneron (L'impertinente Pirate) - Bordeaux Supérieur - 2022</t>
  </si>
  <si>
    <t>Chateau La Tour Carnet - Haut Medoc - 2017</t>
  </si>
  <si>
    <t>Château Haut Coteau - Saint Estèphe - 2015</t>
  </si>
  <si>
    <t>Grandes Costes - Languedoc Pic Saint Loup - 2019</t>
  </si>
  <si>
    <t>Silène des Peyrals - Grès de Montpellier - 2023</t>
  </si>
  <si>
    <t>Virely Arcelain - Pommard - 2017</t>
  </si>
  <si>
    <t>Nuiton-Beaunoy - Pommard - 2019</t>
  </si>
  <si>
    <t>Nuiton-Beaunoy (Les Chanlins-Bas) - Pommard - 2020</t>
  </si>
  <si>
    <t>Château Serilhan - Saint Estèphe - 2016</t>
  </si>
  <si>
    <t>Mouton Père et Fils (Côte Chatillon) - Condrieu - 2020</t>
  </si>
  <si>
    <t>La Meulière (Les Larmes de l'Oubli) - Chablis - 2020</t>
  </si>
  <si>
    <t>Vincent Charache (Les Belles Filles) - Pernand - Vergelesses - 2023</t>
  </si>
  <si>
    <t>Nuiton-Beaunoy - Volnay - 2019</t>
  </si>
  <si>
    <t>Nuiton-Beaunoy (Chanlin) - Volnay - 2020</t>
  </si>
  <si>
    <t>Château Laffite-Carcasset - Saint Estèphe - 2016</t>
  </si>
  <si>
    <t>Alexandre Sirech - Saint Estèphe - 2018</t>
  </si>
  <si>
    <t>Domaine Fourrey (Vaillons) - Chablis Premier cru - 2021</t>
  </si>
  <si>
    <t>La Meulière (Les Gougueys) - Chablis Premier cru - 2022</t>
  </si>
  <si>
    <t>Nuiton-Beaunoy - Volnay - 2022</t>
  </si>
  <si>
    <t>Domaine Nudant (Les Buis) - Ladoix - 2021</t>
  </si>
  <si>
    <t>Jean Bouchard - Chassagne - Montrachet - 2018</t>
  </si>
  <si>
    <t>Nuiton-Beaunoy - Fixin - 2023</t>
  </si>
  <si>
    <t>Jean Bouchard - Savigny-les-Beaune - 2017</t>
  </si>
  <si>
    <t>Domaine Diconne - Meursault - 2018</t>
  </si>
  <si>
    <t>Nuiton-Beaunoy - Maranges - 2019</t>
  </si>
  <si>
    <t>Nuiton-Beaunoy - Maranges - 2022</t>
  </si>
  <si>
    <t>Nuiton-Beaunoy - Monthélie - 2021</t>
  </si>
  <si>
    <t>Nuiton-Beaunoy - Chorey Lès Beaune - 2023</t>
  </si>
  <si>
    <t>Château Saint Estèphe - Saint Estèphe - 2019</t>
  </si>
  <si>
    <t>Château Lynch-Bages (Echo) - Pauillac - 2017</t>
  </si>
  <si>
    <t>Valap - Pauillac - 2019</t>
  </si>
  <si>
    <t>Domaine Alain Patriarche (Vieilles Vignes) - Meursault - 2020</t>
  </si>
  <si>
    <t>Domaine Alain Patriarche (Les Tillets) - Meursault - 2020</t>
  </si>
  <si>
    <t>Terres Secrètes (Croix de Montceau) - Saint Véran - 2023</t>
  </si>
  <si>
    <t>Domaine Masse - Givry - 2020</t>
  </si>
  <si>
    <t>Domaine François Raquillet - Mercurey - 2018</t>
  </si>
  <si>
    <t>Domaine Ninot (Les Crêts) - Mercurey - 2022</t>
  </si>
  <si>
    <t>Pierre Desroches (Au Vignerais) - Pouilly - Fuissé Premier cru - 2023</t>
  </si>
  <si>
    <t>Domaine Chanson - Mercurey - 2022</t>
  </si>
  <si>
    <t>Pierre-Marie Chermette Vissous - Brouilly - 2021</t>
  </si>
  <si>
    <t>Château de Le Chaize (Moulin Favre) - Brouilly - 2023</t>
  </si>
  <si>
    <t>Thomas Barton - Saint Julien - 2014</t>
  </si>
  <si>
    <t>Château La Bridane - Saint Julien - 2015</t>
  </si>
  <si>
    <t>Château Talbot - Saint Julien - 2017</t>
  </si>
  <si>
    <t>Domaine de la Désoucherie (Soléa) - Cour - Cheverny - 2018</t>
  </si>
  <si>
    <t>Neil Becede Vigneron (OVOID Pirate) - Entre Deux Mers - 2021</t>
  </si>
  <si>
    <t>Leon Baur (Cuvée Elisabeth Stumpf) - Alsace Riesling - 2019</t>
  </si>
  <si>
    <t>Vincent Girardin (Domaine de la Tour du Bief) - Moulin à Vent - 2018</t>
  </si>
  <si>
    <t>Vincent Girardin (Domaine de la Tour du Bief) - Moulin à Vent - 2020</t>
  </si>
  <si>
    <t>Château La Bridane - Saint Julien - 2022</t>
  </si>
  <si>
    <t>Château Chasse-Spleen (L'Oratoire) - Moulis en Médoc - 2014</t>
  </si>
  <si>
    <t>François Weck (Cuvée prestige) - Gewürztraminer - 2018</t>
  </si>
  <si>
    <t>François Weck (Cuvée Annala) - Gewürztraminer - 2018</t>
  </si>
  <si>
    <t>François Weck (Cuvée prestige) - Riesling - 2022</t>
  </si>
  <si>
    <t>Maison Le Nid (Tradition) - Moulin à Vent - 2018</t>
  </si>
  <si>
    <t>Château Moulin Favre (Cuvée Célina) - Moulin à Vent - 2020</t>
  </si>
  <si>
    <t>Château Moulin Favre - Saint Amour - 2020</t>
  </si>
  <si>
    <t>Domaine de Milhomme (Vigne Centenaire) - Beaujolais - 2021</t>
  </si>
  <si>
    <t>Château Chasse-Spleen - Moulis en Médoc - 2014</t>
  </si>
  <si>
    <t>Château Chasse-Spleen - Moulis en Médoc - 2018</t>
  </si>
  <si>
    <t>Château Maucaillou (No. 2 de Maucaillou) - Moulis en Médoc - 2017</t>
  </si>
  <si>
    <t>Château Paveil de Luze - Margaux - 2015</t>
  </si>
  <si>
    <t>Alsace Grand Cru (Spiegel Vendanges Tardives) - Domaine Eugène Meyer - 2005</t>
  </si>
  <si>
    <t>Baron de Ley - Rioja - 2014</t>
  </si>
  <si>
    <t>Marqués de Riscal - Rioja Reserva - 2014</t>
  </si>
  <si>
    <t>Tardieu-Laurent - Côte Rotie - 2019</t>
  </si>
  <si>
    <t>Domaine Grangier - Saint Joseph - 2018</t>
  </si>
  <si>
    <t>Château d'Arsac - Margaux - 2016</t>
  </si>
  <si>
    <t>Château Prieuré-Lichine - Margaux - 2017</t>
  </si>
  <si>
    <t>Château Paveil de Luze - Margaux - 2018</t>
  </si>
  <si>
    <t>Casa Ferreirinha (Vinha Grande) - Douro - 2016</t>
  </si>
  <si>
    <t>Barão de Vilar (Vilarissa Valley) - Douro - 2021</t>
  </si>
  <si>
    <t>Santa Margherita - Chianti Classico - 2015</t>
  </si>
  <si>
    <t>Cave Saint Désirat - Saint Joseph - 2019</t>
  </si>
  <si>
    <t>Domaine Belle (Roche Pierre) - Crozes - Hermitage - 2019</t>
  </si>
  <si>
    <t>Cave de Tain (Nuit Blanche) - Crozes - Hermitage - 2021</t>
  </si>
  <si>
    <t>La Presidente - Châteauneuf du Pape - 2015</t>
  </si>
  <si>
    <t>Château Couhins (La Dame des Couhins) - Pessac - Léognan - 2014</t>
  </si>
  <si>
    <t>Chateau Brown - Pessac - Léognan - 2017</t>
  </si>
  <si>
    <t>Château La Louvière - Pessac - Léognan - 2016</t>
  </si>
  <si>
    <t>Château Ferrande - Graves - 2020</t>
  </si>
  <si>
    <t>Castello Monaci (Coribante) - Salento - 2021</t>
  </si>
  <si>
    <t>Batasiolo - Barolo - 2019</t>
  </si>
  <si>
    <t>Castel Firmian (Riserva) - Pinot Grigio - 2022</t>
  </si>
  <si>
    <t>Shaw + Smith - Syrah - 2020</t>
  </si>
  <si>
    <t>Vidal Fleury - Châteauneuf du Pape - 2015</t>
  </si>
  <si>
    <t>Domaine Raymond Usseglio - Châteauneuf du Pape - 2018</t>
  </si>
  <si>
    <t>Domaine Le Mirabeau - Vinsobres - 2018</t>
  </si>
  <si>
    <t>Château Mazeyres - Pomerol - 2015</t>
  </si>
  <si>
    <t>Château Bel-Air (Château L'Ermitage) - Pomerol - 2016</t>
  </si>
  <si>
    <t>Château Grand Beausejour - Pomerol - 2019</t>
  </si>
  <si>
    <t>Zorah - Karasi - 2017</t>
  </si>
  <si>
    <t>Domaine Miramont - Vacqueyras - 2019</t>
  </si>
  <si>
    <t>Château Lagrézette (Merveille Rocamadour) - Côtes du Lot - 2018</t>
  </si>
  <si>
    <t>Château Lamartine - Cahors - 2016</t>
  </si>
  <si>
    <t>Château Grand Beausejour - Pomerol - 2021</t>
  </si>
  <si>
    <t>Zorah - Voski - 2019</t>
  </si>
  <si>
    <t>Clos de los Siete - Mendoza - 2015</t>
  </si>
  <si>
    <t>Château Combarieu (Ma passion Manu Pinto Malbec) - Cahors - 2022</t>
  </si>
  <si>
    <t>Château Eugénie (Réserve de l'Aïeul) - Cahors - 2019</t>
  </si>
  <si>
    <t>Château Eugénie (Haute Collection) - Cahors - 2019</t>
  </si>
  <si>
    <t>Daniel Mouty (Clos Saint-André) - Pomerol - 2022</t>
  </si>
  <si>
    <t>Château Chevrol Bel-Air - Lalande de Pomerol - 2014</t>
  </si>
  <si>
    <t>Alexandre Sirech - Lalande de Pomerol - 2018</t>
  </si>
  <si>
    <t>1001 Pierres (Ferrand) - Corrèze - 2020</t>
  </si>
  <si>
    <t>1001 Pierres (Le Champ du Clos) - Corrèze - 2016</t>
  </si>
  <si>
    <t>Domaine Carcenac (Jadis) - Gaillac - 2020</t>
  </si>
  <si>
    <t>Domaine Amirault - Saint Nicolas de Bourgueil - 2018</t>
  </si>
  <si>
    <t>Amirault Grosbois (Les Hauts Gagnés) - Saint Nicolas de Bourgueil - 2022</t>
  </si>
  <si>
    <t>Luc Percher (L'Epicourchois) - Cheverny - 2020</t>
  </si>
  <si>
    <t>Jean-Claude Fabris (Domaine du Petit-Brouard) - Lalande de Pomerol - 2018</t>
  </si>
  <si>
    <t>Domaine de Montcy (Louis de la Saussaye) - Cheverny - 2020</t>
  </si>
  <si>
    <t>Valery Renaudat (Le sentier) - Reuilly - 2023</t>
  </si>
  <si>
    <t>Château du Galoupet - Côtes de Provence - 2015</t>
  </si>
  <si>
    <t>Château Haut-Fonrazade - Saint Emilion Grand cru - 2010</t>
  </si>
  <si>
    <t>Château Simard - Saint Emilion Grand cru - 2010</t>
  </si>
  <si>
    <t>Château Sainte Roseline (Lampe de Méduse) - Côtes de Provence - 2019</t>
  </si>
  <si>
    <t>Domaine de l'Olivette (Cuvée Spéciale) - Bandol - 2014</t>
  </si>
  <si>
    <t>Château Grand Corbin - Saint Emilion Grand cru - 2014</t>
  </si>
  <si>
    <t>Château Cormeil-Figeac - Saint Emilion Grand cru - 2013</t>
  </si>
  <si>
    <t>Château Sanctus - Saint Emilion Grand cru - 2017</t>
  </si>
  <si>
    <t>Les Caves du Louvre (Cuvée Cécile 27/11/2022) - 2021</t>
  </si>
  <si>
    <t>Mas Combaréla (Les Vieux Mazets) - Carignan - 2017</t>
  </si>
  <si>
    <t>Mas Combaréla (Les Vieux Mazets) - Carignan - 2019</t>
  </si>
  <si>
    <t>Philippe Tupinier - Irancy - 2018</t>
  </si>
  <si>
    <t>Derey Frères (Les Vignes Marie) - Marsannay - 2020</t>
  </si>
  <si>
    <t>François Weck (Cuvée St Pantaléon) - Crémant d'Alsace</t>
  </si>
  <si>
    <t>Pascal Fricot (Damoiselles) - Champagne</t>
  </si>
  <si>
    <t>l'Amiral (Le voyage de l'Amiral) - Pays d'Oc - 2021</t>
  </si>
  <si>
    <t>l'Amiral (La tournée de l'Amiral) - Pays d'Oc - 2022</t>
  </si>
  <si>
    <t>l'Amiral (Cuvée Prestige) - Minervois - 2015</t>
  </si>
  <si>
    <t>l'Amiral (Cuvée Tradition) - Minervois - 2020</t>
  </si>
  <si>
    <t>Gérard Seguin - Gevrey - Chambertin - 2018</t>
  </si>
  <si>
    <t>Nuiton-Beaunoy - Gevrey - Chambertin - 2018</t>
  </si>
  <si>
    <t>Chanson - Gevrey - Chambertin - 2018</t>
  </si>
  <si>
    <t>l'Amiral (Cuvée Prestige) - Minervois - 2020</t>
  </si>
  <si>
    <t>l'Amiral (Trésor d'Etoiles Fuchsia) - Minervois</t>
  </si>
  <si>
    <t>Les Combes Cachées - Minervois - La Livinière - 2017</t>
  </si>
  <si>
    <t>Pierre Maizière - Gevrey - Chambertin - 2023</t>
  </si>
  <si>
    <t>Pierre Trichet (Le caractère) - Champagne</t>
  </si>
  <si>
    <t>Pierre Trichet (La puissance) - Champagne</t>
  </si>
  <si>
    <t>Mirabelle 1983 Année de naissance de Cécile</t>
  </si>
  <si>
    <t>Domaine du Cardona - Moretum - 2017</t>
  </si>
  <si>
    <t>Domaine Nudant - Nuits Saint Georges - 2021</t>
  </si>
  <si>
    <t>Domaine Nudant - Vosne - Romanée - 2021</t>
  </si>
  <si>
    <t>André Goichot - Côte de Nuits - Villages - 2014</t>
  </si>
  <si>
    <t>Domaine du Vieux Collège - Fixin - 2019</t>
  </si>
  <si>
    <t>Pierre Trichet (L'exception) - Champagne - 2015</t>
  </si>
  <si>
    <t>Mas Amiel (Carerades) - Côtes du Roussillon Villages - 2018 - MAGNUM</t>
  </si>
  <si>
    <t>CHEZ FAZ</t>
  </si>
  <si>
    <t>Château Sociando-Mallet - Haut Médoc - 2013</t>
  </si>
  <si>
    <t>Domaine de Milhomme (1729) - Beaujolais - 2020</t>
  </si>
  <si>
    <t>Château Branaire-Ducru - Saint Julien - 2021</t>
  </si>
  <si>
    <t>Château Le Boscq - Saint Estèphe - 2020</t>
  </si>
  <si>
    <t>Château Latour-Martillac - Pessac - Léognan - 2019</t>
  </si>
  <si>
    <t>Vrai Canon Bouché - Canon - Fronsac - 2019</t>
  </si>
  <si>
    <t>BORDEAUX</t>
  </si>
  <si>
    <t>BOURGOGNE</t>
  </si>
  <si>
    <t>VALLEE DU RHONE</t>
  </si>
  <si>
    <t>SUD-OUEST</t>
  </si>
  <si>
    <t>Basse-Bourgogne</t>
  </si>
  <si>
    <t>Côtes du Rhône septentrionales</t>
  </si>
  <si>
    <t>Sud du Massif central</t>
  </si>
  <si>
    <t>Côte de Nuits</t>
  </si>
  <si>
    <t>Côtés du Rhône méridionales</t>
  </si>
  <si>
    <t>Piémont pyrénéen</t>
  </si>
  <si>
    <t>Entre-deux-Mers</t>
  </si>
  <si>
    <t>Côte de Beaune</t>
  </si>
  <si>
    <t>Appellation hors des côtes du Rhône</t>
  </si>
  <si>
    <t>Bergeracois</t>
  </si>
  <si>
    <t>Libournais</t>
  </si>
  <si>
    <t>Côte chalonnaise</t>
  </si>
  <si>
    <t>Blayais et Bourgeais</t>
  </si>
  <si>
    <t>Mâconnais</t>
  </si>
  <si>
    <t>LOIRE</t>
  </si>
  <si>
    <t>LANGUEDOC-ROUSSILLON</t>
  </si>
  <si>
    <t>PROVENCE</t>
  </si>
  <si>
    <t>ALSACE</t>
  </si>
  <si>
    <t>Touraine</t>
  </si>
  <si>
    <t>Coteaux de l'Aude</t>
  </si>
  <si>
    <t>Orléanais et Centre-Val de Loire et Massif central</t>
  </si>
  <si>
    <t>Coteaux du Languedoc</t>
  </si>
  <si>
    <t>Pays nantais</t>
  </si>
  <si>
    <t>Roussillon</t>
  </si>
  <si>
    <t>Anjou</t>
  </si>
  <si>
    <t>CORSE</t>
  </si>
  <si>
    <t>CHAMPAGNE</t>
  </si>
  <si>
    <t>AIN</t>
  </si>
  <si>
    <t>ETRANGER</t>
  </si>
  <si>
    <t>Bugey</t>
  </si>
  <si>
    <t>Argentine</t>
  </si>
  <si>
    <t>SAVOIE</t>
  </si>
  <si>
    <t>Italie</t>
  </si>
  <si>
    <t>Portugal</t>
  </si>
  <si>
    <t>Nouvelle-Zélande</t>
  </si>
  <si>
    <t>Afrique du Sud</t>
  </si>
  <si>
    <t>Australie</t>
  </si>
  <si>
    <t>Emplacement</t>
  </si>
  <si>
    <t>Nbre à prendre ?</t>
  </si>
  <si>
    <t>Prix estimé ?</t>
  </si>
  <si>
    <t>E59</t>
  </si>
  <si>
    <t>D45</t>
  </si>
  <si>
    <t>2015
2020</t>
  </si>
  <si>
    <t>2017
2022</t>
  </si>
  <si>
    <t>2023
2028</t>
  </si>
  <si>
    <t>4/5
4/5</t>
  </si>
  <si>
    <t>15
19,5</t>
  </si>
  <si>
    <t>24/03/2019
23/11/2022</t>
  </si>
  <si>
    <t>B18</t>
  </si>
  <si>
    <t>G74</t>
  </si>
  <si>
    <t>CLOS TRIGUEDINA</t>
  </si>
  <si>
    <t>H40</t>
  </si>
  <si>
    <t>CHATEAU LACAPELLE CABANAC</t>
  </si>
  <si>
    <t>G8</t>
  </si>
  <si>
    <t>CHATEAU EUGENIE</t>
  </si>
  <si>
    <t>E61</t>
  </si>
  <si>
    <t>E41</t>
  </si>
  <si>
    <t>2019
2020</t>
  </si>
  <si>
    <r>
      <rPr>
        <color rgb="FF6AA84F"/>
      </rPr>
      <t xml:space="preserve">2023
</t>
    </r>
    <r>
      <rPr>
        <color rgb="FF000000"/>
      </rPr>
      <t>2024</t>
    </r>
  </si>
  <si>
    <t>2029
2030</t>
  </si>
  <si>
    <t>22
22</t>
  </si>
  <si>
    <t>20/03/2022
20/03/2022</t>
  </si>
  <si>
    <t>F12</t>
  </si>
  <si>
    <t>Mercurey 1er Cru Les Crets</t>
  </si>
  <si>
    <t>Domaine des Féraud</t>
  </si>
  <si>
    <t>G47</t>
  </si>
  <si>
    <t>Chateau Canadel</t>
  </si>
  <si>
    <t>F11</t>
  </si>
  <si>
    <t>B12</t>
  </si>
  <si>
    <t>Chateau Henri Bonnaud</t>
  </si>
  <si>
    <t>Cognac</t>
  </si>
  <si>
    <t>Provence/Corse</t>
  </si>
  <si>
    <t>H10</t>
  </si>
  <si>
    <t>DOMAINE DE CHATEAU GUYNOT</t>
  </si>
  <si>
    <t>+</t>
  </si>
  <si>
    <t>E18</t>
  </si>
  <si>
    <t>DOMAINE DE LA CHEVALERIE - VIGNOBLE PELLETANT</t>
  </si>
  <si>
    <t>Rully (blanc)</t>
  </si>
  <si>
    <t>G10</t>
  </si>
  <si>
    <t>LE PLANTIS DES VALLEES</t>
  </si>
  <si>
    <t>Croze hermitage</t>
  </si>
  <si>
    <t>A34</t>
  </si>
  <si>
    <t>COGNAC THIERRY POUILLOUX</t>
  </si>
  <si>
    <t>Sancerre (blanc)</t>
  </si>
  <si>
    <t>++</t>
  </si>
  <si>
    <t>B70</t>
  </si>
  <si>
    <t>MAISON BEGAUD</t>
  </si>
  <si>
    <t>C26</t>
  </si>
  <si>
    <t>VIGNOBLE GIBOIN</t>
  </si>
  <si>
    <t>G60</t>
  </si>
  <si>
    <t>VIGNOBLE EGRETEAU</t>
  </si>
  <si>
    <t>E48</t>
  </si>
  <si>
    <t>CHATEAU DES MATARDS-DOMAINE DE LA MARGOTTERIE</t>
  </si>
  <si>
    <t>E75</t>
  </si>
  <si>
    <t>COGNAC PAUL GIRAUD</t>
  </si>
  <si>
    <t>?</t>
  </si>
  <si>
    <t>F23</t>
  </si>
  <si>
    <t>DOMAINE THORIN</t>
  </si>
  <si>
    <t>G82</t>
  </si>
  <si>
    <t>GRATEAUD  (VIGNOBLE)</t>
  </si>
  <si>
    <t>B34</t>
  </si>
  <si>
    <t>VIGNOBLE SIMONNOT</t>
  </si>
  <si>
    <t>A78</t>
  </si>
  <si>
    <t>DOMAINE GOUSSELAND PÈRE ET FILS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</si>
</sst>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
    <numFmt numFmtId="165" formatCode="dd/mm/yyyy"/>
    <numFmt numFmtId="166" formatCode="d/m/yyyy"/>
  </numFmts>
  <fonts count="16">
    <font>
      <sz val="10.0"/>
      <color rgb="FF000000"/>
      <name val="Arial"/>
    </font>
    <font>
      <b/>
    </font>
    <font/>
    <font>
      <color rgb="FF6AA84F"/>
    </font>
    <font>
      <color rgb="FFFF0000"/>
    </font>
    <font>
      <color rgb="FF000000"/>
      <name val="Arial"/>
    </font>
    <font>
      <color rgb="FFFF9900"/>
    </font>
    <font>
      <color rgb="FF38761D"/>
    </font>
    <font>
      <color rgb="FF000000"/>
      <name val="&quot;Arial&quot;"/>
    </font>
    <font>
      <color rgb="FF000000"/>
      <name val="'Arial'"/>
    </font>
    <font>
      <b/>
      <color rgb="FFFFFFFF"/>
    </font>
    <font>
      <color rgb="FFFFFFFF"/>
    </font>
    <font>
      <name val="Arial"/>
    </font>
    <font>
      <name val="'Arial'"/>
    </font>
    <font>
      <color rgb="FFFFFFFF"/>
      <name val="'Arial'"/>
    </font>
    <font>
      <u/>
      <color rgb="FF0000FF"/>
    </font>
  </fonts>
  <fills count="54">
    <fill>
      <patternFill patternType="none"/>
    </fill>
    <fill>
      <patternFill patternType="lightGray"/>
    </fill>
    <fill>
      <patternFill patternType="solid">
        <fgColor rgb="FFFFFFFF"/>
        <bgColor rgb="FFFFFFFF"/>
      </patternFill>
    </fill>
    <fill>
      <patternFill patternType="solid">
        <fgColor rgb="FF666666"/>
        <bgColor rgb="FF666666"/>
      </patternFill>
    </fill>
    <fill>
      <patternFill patternType="solid">
        <fgColor rgb="FF00FFFF"/>
        <bgColor rgb="FF00FFFF"/>
      </patternFill>
    </fill>
    <fill>
      <patternFill patternType="solid">
        <fgColor rgb="FFD0E0E3"/>
        <bgColor rgb="FFD0E0E3"/>
      </patternFill>
    </fill>
    <fill>
      <patternFill patternType="solid">
        <fgColor rgb="FFF9CB9C"/>
        <bgColor rgb="FFF9CB9C"/>
      </patternFill>
    </fill>
    <fill>
      <patternFill patternType="solid">
        <fgColor rgb="FFF6B26B"/>
        <bgColor rgb="FFF6B26B"/>
      </patternFill>
    </fill>
    <fill>
      <patternFill patternType="solid">
        <fgColor rgb="FF980000"/>
        <bgColor rgb="FF980000"/>
      </patternFill>
    </fill>
    <fill>
      <patternFill patternType="solid">
        <fgColor rgb="FFF4CCCC"/>
        <bgColor rgb="FFF4CCCC"/>
      </patternFill>
    </fill>
    <fill>
      <patternFill patternType="solid">
        <fgColor rgb="FFD9EAD3"/>
        <bgColor rgb="FFD9EAD3"/>
      </patternFill>
    </fill>
    <fill>
      <patternFill patternType="solid">
        <fgColor rgb="FFFCE5CD"/>
        <bgColor rgb="FFFCE5CD"/>
      </patternFill>
    </fill>
    <fill>
      <patternFill patternType="solid">
        <fgColor rgb="FFFFE599"/>
        <bgColor rgb="FFFFE599"/>
      </patternFill>
    </fill>
    <fill>
      <patternFill patternType="solid">
        <fgColor rgb="FFFFF2CC"/>
        <bgColor rgb="FFFFF2CC"/>
      </patternFill>
    </fill>
    <fill>
      <patternFill patternType="solid">
        <fgColor rgb="FFFFD966"/>
        <bgColor rgb="FFFFD966"/>
      </patternFill>
    </fill>
    <fill>
      <patternFill patternType="solid">
        <fgColor rgb="FFD9D2E9"/>
        <bgColor rgb="FFD9D2E9"/>
      </patternFill>
    </fill>
    <fill>
      <patternFill patternType="solid">
        <fgColor rgb="FFE6B8AF"/>
        <bgColor rgb="FFE6B8AF"/>
      </patternFill>
    </fill>
    <fill>
      <patternFill patternType="solid">
        <fgColor rgb="FFA64D79"/>
        <bgColor rgb="FFA64D79"/>
      </patternFill>
    </fill>
    <fill>
      <patternFill patternType="solid">
        <fgColor rgb="FFCC0000"/>
        <bgColor rgb="FFCC0000"/>
      </patternFill>
    </fill>
    <fill>
      <patternFill patternType="solid">
        <fgColor rgb="FF0B5394"/>
        <bgColor rgb="FF0B5394"/>
      </patternFill>
    </fill>
    <fill>
      <patternFill patternType="solid">
        <fgColor rgb="FF6AA84F"/>
        <bgColor rgb="FF6AA84F"/>
      </patternFill>
    </fill>
    <fill>
      <patternFill patternType="solid">
        <fgColor rgb="FFB6D7A8"/>
        <bgColor rgb="FFB6D7A8"/>
      </patternFill>
    </fill>
    <fill>
      <patternFill patternType="solid">
        <fgColor rgb="FFEA9999"/>
        <bgColor rgb="FFEA9999"/>
      </patternFill>
    </fill>
    <fill>
      <patternFill patternType="solid">
        <fgColor rgb="FFF5C4FF"/>
        <bgColor rgb="FFF5C4FF"/>
      </patternFill>
    </fill>
    <fill>
      <patternFill patternType="solid">
        <fgColor rgb="FFDD7E6B"/>
        <bgColor rgb="FFDD7E6B"/>
      </patternFill>
    </fill>
    <fill>
      <patternFill patternType="solid">
        <fgColor rgb="FFF1C232"/>
        <bgColor rgb="FFF1C232"/>
      </patternFill>
    </fill>
    <fill>
      <patternFill patternType="solid">
        <fgColor rgb="FFC9DAF8"/>
        <bgColor rgb="FFC9DAF8"/>
      </patternFill>
    </fill>
    <fill>
      <patternFill patternType="solid">
        <fgColor rgb="FFBF9000"/>
        <bgColor rgb="FFBF9000"/>
      </patternFill>
    </fill>
    <fill>
      <patternFill patternType="solid">
        <fgColor rgb="FFB4A7D6"/>
        <bgColor rgb="FFB4A7D6"/>
      </patternFill>
    </fill>
    <fill>
      <patternFill patternType="solid">
        <fgColor rgb="FFFF00FF"/>
        <bgColor rgb="FFFF00FF"/>
      </patternFill>
    </fill>
    <fill>
      <patternFill patternType="solid">
        <fgColor rgb="FF0000FF"/>
        <bgColor rgb="FF0000FF"/>
      </patternFill>
    </fill>
    <fill>
      <patternFill patternType="solid">
        <fgColor rgb="FFFFFF00"/>
        <bgColor rgb="FFFFFF00"/>
      </patternFill>
    </fill>
    <fill>
      <patternFill patternType="solid">
        <fgColor rgb="FFD9D9D9"/>
        <bgColor rgb="FFD9D9D9"/>
      </patternFill>
    </fill>
    <fill>
      <patternFill patternType="solid">
        <fgColor rgb="FF76A5AF"/>
        <bgColor rgb="FF76A5AF"/>
      </patternFill>
    </fill>
    <fill>
      <patternFill patternType="solid">
        <fgColor rgb="FFFF9900"/>
        <bgColor rgb="FFFF9900"/>
      </patternFill>
    </fill>
    <fill>
      <patternFill patternType="solid">
        <fgColor rgb="FF93C47D"/>
        <bgColor rgb="FF93C47D"/>
      </patternFill>
    </fill>
    <fill>
      <patternFill patternType="solid">
        <fgColor rgb="FF4A86E8"/>
        <bgColor rgb="FF4A86E8"/>
      </patternFill>
    </fill>
    <fill>
      <patternFill patternType="solid">
        <fgColor rgb="FFA4C2F4"/>
        <bgColor rgb="FFA4C2F4"/>
      </patternFill>
    </fill>
    <fill>
      <patternFill patternType="solid">
        <fgColor rgb="FF38761D"/>
        <bgColor rgb="FF38761D"/>
      </patternFill>
    </fill>
    <fill>
      <patternFill patternType="solid">
        <fgColor rgb="FF3C78D8"/>
        <bgColor rgb="FF3C78D8"/>
      </patternFill>
    </fill>
    <fill>
      <patternFill patternType="solid">
        <fgColor rgb="FFE06666"/>
        <bgColor rgb="FFE06666"/>
      </patternFill>
    </fill>
    <fill>
      <patternFill patternType="solid">
        <fgColor rgb="FF9900FF"/>
        <bgColor rgb="FF9900FF"/>
      </patternFill>
    </fill>
    <fill>
      <patternFill patternType="solid">
        <fgColor rgb="FF8E7CC3"/>
        <bgColor rgb="FF8E7CC3"/>
      </patternFill>
    </fill>
    <fill>
      <patternFill patternType="solid">
        <fgColor rgb="FF674EA7"/>
        <bgColor rgb="FF674EA7"/>
      </patternFill>
    </fill>
    <fill>
      <patternFill patternType="solid">
        <fgColor rgb="FFEAD1DC"/>
        <bgColor rgb="FFEAD1DC"/>
      </patternFill>
    </fill>
    <fill>
      <patternFill patternType="solid">
        <fgColor rgb="FF4C1130"/>
        <bgColor rgb="FF4C1130"/>
      </patternFill>
    </fill>
    <fill>
      <patternFill patternType="solid">
        <fgColor rgb="FF7F6000"/>
        <bgColor rgb="FF7F6000"/>
      </patternFill>
    </fill>
    <fill>
      <patternFill patternType="solid">
        <fgColor rgb="FF741B47"/>
        <bgColor rgb="FF741B47"/>
      </patternFill>
    </fill>
    <fill>
      <patternFill patternType="solid">
        <fgColor rgb="FFC27BA0"/>
        <bgColor rgb="FFC27BA0"/>
      </patternFill>
    </fill>
    <fill>
      <patternFill patternType="solid">
        <fgColor rgb="FFD5A6BD"/>
        <bgColor rgb="FFD5A6BD"/>
      </patternFill>
    </fill>
    <fill>
      <patternFill patternType="solid">
        <fgColor rgb="FF999999"/>
        <bgColor rgb="FF999999"/>
      </patternFill>
    </fill>
    <fill>
      <patternFill patternType="solid">
        <fgColor rgb="FFDAD9D9"/>
        <bgColor rgb="FFDAD9D9"/>
      </patternFill>
    </fill>
    <fill>
      <patternFill patternType="solid">
        <fgColor rgb="FFFF0000"/>
        <bgColor rgb="FFFF0000"/>
      </patternFill>
    </fill>
    <fill>
      <patternFill patternType="solid">
        <fgColor rgb="FF00FF00"/>
        <bgColor rgb="FF00FF00"/>
      </patternFill>
    </fill>
  </fills>
  <borders count="1">
    <border/>
  </borders>
  <cellStyleXfs count="1">
    <xf borderId="0" fillId="0" fontId="0" numFmtId="0" applyAlignment="1" applyFont="1"/>
  </cellStyleXfs>
  <cellXfs count="9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2" numFmtId="164" xfId="0" applyAlignment="1" applyFont="1" applyNumberFormat="1">
      <alignment readingOrder="0"/>
    </xf>
    <xf borderId="0" fillId="0" fontId="2" numFmtId="165" xfId="0" applyAlignment="1" applyFont="1" applyNumberFormat="1">
      <alignment readingOrder="0"/>
    </xf>
    <xf borderId="0" fillId="0" fontId="2" numFmtId="166" xfId="0" applyAlignment="1" applyFont="1" applyNumberFormat="1">
      <alignment horizontal="right" readingOrder="0"/>
    </xf>
    <xf borderId="0" fillId="0" fontId="2" numFmtId="0" xfId="0" applyAlignment="1" applyFont="1">
      <alignment horizontal="right" readingOrder="0"/>
    </xf>
    <xf borderId="0" fillId="0" fontId="2" numFmtId="166" xfId="0" applyAlignment="1" applyFont="1" applyNumberFormat="1">
      <alignment readingOrder="0"/>
    </xf>
    <xf borderId="0" fillId="2" fontId="5" numFmtId="0" xfId="0" applyAlignment="1" applyFill="1" applyFont="1">
      <alignment horizontal="left" readingOrder="0"/>
    </xf>
    <xf borderId="0" fillId="0" fontId="2" numFmtId="165" xfId="0" applyAlignment="1" applyFont="1" applyNumberFormat="1">
      <alignment horizontal="right" readingOrder="0"/>
    </xf>
    <xf borderId="0" fillId="0" fontId="2" numFmtId="0" xfId="0" applyAlignment="1" applyFont="1">
      <alignment horizontal="right"/>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2" numFmtId="0" xfId="0" applyAlignment="1" applyFont="1">
      <alignment horizontal="left" readingOrder="0"/>
    </xf>
    <xf borderId="0" fillId="0" fontId="5" numFmtId="0" xfId="0" applyAlignment="1" applyFont="1">
      <alignment horizontal="left" readingOrder="0"/>
    </xf>
    <xf borderId="0" fillId="0" fontId="9" numFmtId="0" xfId="0" applyAlignment="1" applyFont="1">
      <alignment readingOrder="0"/>
    </xf>
    <xf borderId="0" fillId="3" fontId="10" numFmtId="0" xfId="0" applyAlignment="1" applyFill="1" applyFont="1">
      <alignment horizontal="center" readingOrder="0"/>
    </xf>
    <xf borderId="0" fillId="3" fontId="10" numFmtId="0" xfId="0" applyAlignment="1" applyFont="1">
      <alignment readingOrder="0"/>
    </xf>
    <xf borderId="0" fillId="4" fontId="2" numFmtId="0" xfId="0" applyAlignment="1" applyFill="1" applyFont="1">
      <alignment readingOrder="0"/>
    </xf>
    <xf borderId="0" fillId="5" fontId="2" numFmtId="0" xfId="0" applyAlignment="1" applyFill="1" applyFont="1">
      <alignment readingOrder="0"/>
    </xf>
    <xf borderId="0" fillId="3" fontId="2" numFmtId="0" xfId="0" applyFont="1"/>
    <xf borderId="0" fillId="6" fontId="2" numFmtId="0" xfId="0" applyAlignment="1" applyFill="1" applyFont="1">
      <alignment readingOrder="0"/>
    </xf>
    <xf borderId="0" fillId="7" fontId="2" numFmtId="0" xfId="0" applyAlignment="1" applyFill="1" applyFont="1">
      <alignment readingOrder="0"/>
    </xf>
    <xf borderId="0" fillId="8" fontId="11" numFmtId="0" xfId="0" applyAlignment="1" applyFill="1" applyFont="1">
      <alignment readingOrder="0"/>
    </xf>
    <xf borderId="0" fillId="9" fontId="2" numFmtId="0" xfId="0" applyAlignment="1" applyFill="1" applyFont="1">
      <alignment readingOrder="0"/>
    </xf>
    <xf borderId="0" fillId="3" fontId="12" numFmtId="0" xfId="0" applyAlignment="1" applyFont="1">
      <alignment readingOrder="0" vertical="bottom"/>
    </xf>
    <xf borderId="0" fillId="3" fontId="2" numFmtId="0" xfId="0" applyAlignment="1" applyFont="1">
      <alignment readingOrder="0"/>
    </xf>
    <xf borderId="0" fillId="9" fontId="5" numFmtId="0" xfId="0" applyAlignment="1" applyFont="1">
      <alignment horizontal="left" readingOrder="0"/>
    </xf>
    <xf borderId="0" fillId="10" fontId="2" numFmtId="0" xfId="0" applyAlignment="1" applyFill="1" applyFont="1">
      <alignment readingOrder="0"/>
    </xf>
    <xf borderId="0" fillId="11" fontId="2" numFmtId="0" xfId="0" applyAlignment="1" applyFill="1" applyFont="1">
      <alignment readingOrder="0"/>
    </xf>
    <xf borderId="0" fillId="12" fontId="2" numFmtId="0" xfId="0" applyAlignment="1" applyFill="1" applyFont="1">
      <alignment readingOrder="0"/>
    </xf>
    <xf borderId="0" fillId="13" fontId="2" numFmtId="0" xfId="0" applyAlignment="1" applyFill="1" applyFont="1">
      <alignment readingOrder="0"/>
    </xf>
    <xf borderId="0" fillId="14" fontId="2" numFmtId="0" xfId="0" applyAlignment="1" applyFill="1" applyFont="1">
      <alignment readingOrder="0"/>
    </xf>
    <xf borderId="0" fillId="9" fontId="13" numFmtId="0" xfId="0" applyAlignment="1" applyFont="1">
      <alignment readingOrder="0"/>
    </xf>
    <xf borderId="0" fillId="15" fontId="2" numFmtId="0" xfId="0" applyAlignment="1" applyFill="1" applyFont="1">
      <alignment readingOrder="0"/>
    </xf>
    <xf borderId="0" fillId="16" fontId="2" numFmtId="0" xfId="0" applyAlignment="1" applyFill="1" applyFont="1">
      <alignment readingOrder="0"/>
    </xf>
    <xf borderId="0" fillId="17" fontId="11" numFmtId="0" xfId="0" applyAlignment="1" applyFill="1" applyFont="1">
      <alignment readingOrder="0"/>
    </xf>
    <xf borderId="0" fillId="18" fontId="14" numFmtId="0" xfId="0" applyAlignment="1" applyFill="1" applyFont="1">
      <alignment readingOrder="0"/>
    </xf>
    <xf borderId="0" fillId="18" fontId="11" numFmtId="0" xfId="0" applyAlignment="1" applyFont="1">
      <alignment readingOrder="0"/>
    </xf>
    <xf borderId="0" fillId="10" fontId="8" numFmtId="0" xfId="0" applyAlignment="1" applyFont="1">
      <alignment readingOrder="0"/>
    </xf>
    <xf borderId="0" fillId="19" fontId="11" numFmtId="0" xfId="0" applyAlignment="1" applyFill="1" applyFont="1">
      <alignment readingOrder="0"/>
    </xf>
    <xf borderId="0" fillId="20" fontId="11" numFmtId="0" xfId="0" applyAlignment="1" applyFill="1" applyFont="1">
      <alignment readingOrder="0"/>
    </xf>
    <xf borderId="0" fillId="21" fontId="2" numFmtId="0" xfId="0" applyAlignment="1" applyFill="1" applyFont="1">
      <alignment readingOrder="0"/>
    </xf>
    <xf borderId="0" fillId="22" fontId="2" numFmtId="0" xfId="0" applyAlignment="1" applyFill="1" applyFont="1">
      <alignment readingOrder="0"/>
    </xf>
    <xf borderId="0" fillId="23" fontId="2" numFmtId="0" xfId="0" applyAlignment="1" applyFill="1" applyFont="1">
      <alignment readingOrder="0"/>
    </xf>
    <xf borderId="0" fillId="24" fontId="2" numFmtId="0" xfId="0" applyAlignment="1" applyFill="1" applyFont="1">
      <alignment readingOrder="0"/>
    </xf>
    <xf borderId="0" fillId="24" fontId="5" numFmtId="0" xfId="0" applyAlignment="1" applyFont="1">
      <alignment horizontal="left" readingOrder="0"/>
    </xf>
    <xf borderId="0" fillId="25" fontId="11" numFmtId="0" xfId="0" applyAlignment="1" applyFill="1" applyFont="1">
      <alignment readingOrder="0"/>
    </xf>
    <xf borderId="0" fillId="26" fontId="5" numFmtId="0" xfId="0" applyAlignment="1" applyFill="1" applyFont="1">
      <alignment horizontal="left" readingOrder="0"/>
    </xf>
    <xf borderId="0" fillId="27" fontId="11" numFmtId="0" xfId="0" applyAlignment="1" applyFill="1" applyFont="1">
      <alignment readingOrder="0"/>
    </xf>
    <xf borderId="0" fillId="26" fontId="2" numFmtId="0" xfId="0" applyAlignment="1" applyFont="1">
      <alignment readingOrder="0"/>
    </xf>
    <xf borderId="0" fillId="28" fontId="2" numFmtId="0" xfId="0" applyAlignment="1" applyFill="1" applyFont="1">
      <alignment readingOrder="0"/>
    </xf>
    <xf borderId="0" fillId="29" fontId="11" numFmtId="0" xfId="0" applyAlignment="1" applyFill="1" applyFont="1">
      <alignment readingOrder="0"/>
    </xf>
    <xf borderId="0" fillId="30" fontId="11" numFmtId="0" xfId="0" applyAlignment="1" applyFill="1" applyFont="1">
      <alignment readingOrder="0"/>
    </xf>
    <xf borderId="0" fillId="31" fontId="2" numFmtId="0" xfId="0" applyAlignment="1" applyFill="1" applyFont="1">
      <alignment readingOrder="0"/>
    </xf>
    <xf borderId="0" fillId="4" fontId="2" numFmtId="0" xfId="0" applyAlignment="1" applyFont="1">
      <alignment horizontal="left" readingOrder="0"/>
    </xf>
    <xf borderId="0" fillId="4" fontId="5" numFmtId="0" xfId="0" applyAlignment="1" applyFont="1">
      <alignment horizontal="left" readingOrder="0"/>
    </xf>
    <xf borderId="0" fillId="32" fontId="2" numFmtId="0" xfId="0" applyAlignment="1" applyFill="1" applyFont="1">
      <alignment readingOrder="0"/>
    </xf>
    <xf borderId="0" fillId="2" fontId="2" numFmtId="0" xfId="0" applyFont="1"/>
    <xf borderId="0" fillId="33" fontId="2" numFmtId="0" xfId="0" applyAlignment="1" applyFill="1" applyFont="1">
      <alignment readingOrder="0"/>
    </xf>
    <xf borderId="0" fillId="0" fontId="11" numFmtId="0" xfId="0" applyAlignment="1" applyFont="1">
      <alignment readingOrder="0"/>
    </xf>
    <xf borderId="0" fillId="34" fontId="11" numFmtId="0" xfId="0" applyAlignment="1" applyFill="1" applyFont="1">
      <alignment readingOrder="0"/>
    </xf>
    <xf borderId="0" fillId="35" fontId="11" numFmtId="0" xfId="0" applyAlignment="1" applyFill="1" applyFont="1">
      <alignment readingOrder="0"/>
    </xf>
    <xf borderId="0" fillId="36" fontId="11" numFmtId="0" xfId="0" applyAlignment="1" applyFill="1" applyFont="1">
      <alignment readingOrder="0"/>
    </xf>
    <xf borderId="0" fillId="37" fontId="2" numFmtId="0" xfId="0" applyAlignment="1" applyFill="1" applyFont="1">
      <alignment readingOrder="0"/>
    </xf>
    <xf borderId="0" fillId="38" fontId="11" numFmtId="0" xfId="0" applyAlignment="1" applyFill="1" applyFont="1">
      <alignment readingOrder="0"/>
    </xf>
    <xf borderId="0" fillId="39" fontId="11" numFmtId="0" xfId="0" applyAlignment="1" applyFill="1" applyFont="1">
      <alignment readingOrder="0"/>
    </xf>
    <xf borderId="0" fillId="40" fontId="2" numFmtId="0" xfId="0" applyAlignment="1" applyFill="1" applyFont="1">
      <alignment readingOrder="0"/>
    </xf>
    <xf borderId="0" fillId="0" fontId="13" numFmtId="0" xfId="0" applyAlignment="1" applyFont="1">
      <alignment readingOrder="0"/>
    </xf>
    <xf borderId="0" fillId="41" fontId="11" numFmtId="0" xfId="0" applyAlignment="1" applyFill="1" applyFont="1">
      <alignment readingOrder="0"/>
    </xf>
    <xf borderId="0" fillId="42" fontId="2" numFmtId="0" xfId="0" applyAlignment="1" applyFill="1" applyFont="1">
      <alignment readingOrder="0"/>
    </xf>
    <xf borderId="0" fillId="43" fontId="11" numFmtId="0" xfId="0" applyAlignment="1" applyFill="1" applyFont="1">
      <alignment readingOrder="0"/>
    </xf>
    <xf borderId="0" fillId="44" fontId="2" numFmtId="0" xfId="0" applyAlignment="1" applyFill="1" applyFont="1">
      <alignment readingOrder="0"/>
    </xf>
    <xf borderId="0" fillId="45" fontId="11" numFmtId="0" xfId="0" applyAlignment="1" applyFill="1" applyFont="1">
      <alignment readingOrder="0"/>
    </xf>
    <xf borderId="0" fillId="46" fontId="11" numFmtId="0" xfId="0" applyAlignment="1" applyFill="1" applyFont="1">
      <alignment readingOrder="0"/>
    </xf>
    <xf borderId="0" fillId="47" fontId="11" numFmtId="0" xfId="0" applyAlignment="1" applyFill="1" applyFont="1">
      <alignment readingOrder="0"/>
    </xf>
    <xf borderId="0" fillId="48" fontId="11" numFmtId="0" xfId="0" applyAlignment="1" applyFill="1" applyFont="1">
      <alignment readingOrder="0"/>
    </xf>
    <xf borderId="0" fillId="49" fontId="2" numFmtId="0" xfId="0" applyAlignment="1" applyFill="1" applyFont="1">
      <alignment readingOrder="0"/>
    </xf>
    <xf borderId="0" fillId="50" fontId="11" numFmtId="0" xfId="0" applyAlignment="1" applyFill="1" applyFont="1">
      <alignment readingOrder="0"/>
    </xf>
    <xf borderId="0" fillId="51" fontId="2" numFmtId="0" xfId="0" applyAlignment="1" applyFill="1" applyFont="1">
      <alignment readingOrder="0"/>
    </xf>
    <xf borderId="0" fillId="0" fontId="3" numFmtId="0" xfId="0" applyAlignment="1" applyFont="1">
      <alignment horizontal="right" readingOrder="0"/>
    </xf>
    <xf borderId="0" fillId="52" fontId="2" numFmtId="0" xfId="0" applyAlignment="1" applyFill="1" applyFont="1">
      <alignment readingOrder="0"/>
    </xf>
    <xf borderId="0" fillId="53" fontId="2" numFmtId="0" xfId="0" applyAlignment="1" applyFill="1" applyFont="1">
      <alignment readingOrder="0"/>
    </xf>
    <xf borderId="0" fillId="0" fontId="15" numFmtId="0" xfId="0" applyAlignment="1" applyFont="1">
      <alignment readingOrder="0"/>
    </xf>
    <xf borderId="0" fillId="52" fontId="2" numFmtId="0" xfId="0" applyFont="1"/>
    <xf quotePrefix="1"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www.vigneron-independant.com/chateau-des-matards-domaine-de-la-margotterie-0" TargetMode="External"/><Relationship Id="rId10" Type="http://schemas.openxmlformats.org/officeDocument/2006/relationships/hyperlink" Target="https://www.vigneron-independant.com/vignoble-egreteau" TargetMode="External"/><Relationship Id="rId13" Type="http://schemas.openxmlformats.org/officeDocument/2006/relationships/hyperlink" Target="https://www.vigneron-independant.com/domaine-thorin" TargetMode="External"/><Relationship Id="rId12" Type="http://schemas.openxmlformats.org/officeDocument/2006/relationships/hyperlink" Target="https://www.vigneron-independant.com/cognac-paul-giraud-0" TargetMode="External"/><Relationship Id="rId1" Type="http://schemas.openxmlformats.org/officeDocument/2006/relationships/hyperlink" Target="https://www.vigneron-independant.com/clos-triguedina" TargetMode="External"/><Relationship Id="rId2" Type="http://schemas.openxmlformats.org/officeDocument/2006/relationships/hyperlink" Target="https://www.vigneron-independant.com/chateau-lacapelle-cabanac" TargetMode="External"/><Relationship Id="rId3" Type="http://schemas.openxmlformats.org/officeDocument/2006/relationships/hyperlink" Target="https://www.vigneron-independant.com/chateau-eugenie" TargetMode="External"/><Relationship Id="rId4" Type="http://schemas.openxmlformats.org/officeDocument/2006/relationships/hyperlink" Target="https://www.vigneron-independant.com/domaine-de-chateau-guynot" TargetMode="External"/><Relationship Id="rId9" Type="http://schemas.openxmlformats.org/officeDocument/2006/relationships/hyperlink" Target="https://www.vigneron-independant.com/vignoble-giboin" TargetMode="External"/><Relationship Id="rId15" Type="http://schemas.openxmlformats.org/officeDocument/2006/relationships/hyperlink" Target="https://www.vigneron-independant.com/vignoble-simonnot" TargetMode="External"/><Relationship Id="rId14" Type="http://schemas.openxmlformats.org/officeDocument/2006/relationships/hyperlink" Target="https://www.vigneron-independant.com/grateaud-vignoble" TargetMode="External"/><Relationship Id="rId17" Type="http://schemas.openxmlformats.org/officeDocument/2006/relationships/drawing" Target="../drawings/drawing3.xml"/><Relationship Id="rId16" Type="http://schemas.openxmlformats.org/officeDocument/2006/relationships/hyperlink" Target="https://www.vigneron-independant.com/domaine-gousseland-p%C3%A8re-et-fils" TargetMode="External"/><Relationship Id="rId5" Type="http://schemas.openxmlformats.org/officeDocument/2006/relationships/hyperlink" Target="https://www.vigneron-independant.com/domaine-de-la-chevalerie-vignoble-pelletant" TargetMode="External"/><Relationship Id="rId6" Type="http://schemas.openxmlformats.org/officeDocument/2006/relationships/hyperlink" Target="https://www.vigneron-independant.com/le-plantis-des-vallees" TargetMode="External"/><Relationship Id="rId7" Type="http://schemas.openxmlformats.org/officeDocument/2006/relationships/hyperlink" Target="https://www.vigneron-independant.com/cognac-thierry-pouilloux" TargetMode="External"/><Relationship Id="rId8" Type="http://schemas.openxmlformats.org/officeDocument/2006/relationships/hyperlink" Target="https://www.vigneron-independant.com/maison-begau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38"/>
    <col customWidth="1" min="2" max="2" width="11.0"/>
    <col customWidth="1" min="3" max="3" width="24.38"/>
    <col customWidth="1" min="4" max="4" width="26.63"/>
    <col customWidth="1" min="5" max="5" width="13.38"/>
    <col customWidth="1" min="6" max="6" width="14.63"/>
    <col customWidth="1" min="7" max="7" width="20.38"/>
    <col customWidth="1" min="8" max="8" width="35.38"/>
    <col customWidth="1" min="9" max="9" width="14.5"/>
    <col customWidth="1" min="10" max="10" width="12.25"/>
    <col customWidth="1" min="11" max="11" width="7.25"/>
    <col customWidth="1" min="12" max="12" width="11.5"/>
    <col customWidth="1" min="13" max="13" width="15.0"/>
    <col customWidth="1" min="14" max="14" width="12.25"/>
    <col customWidth="1" min="15" max="15" width="9.75"/>
    <col customWidth="1" min="16" max="16" width="11.38"/>
    <col customWidth="1" min="17" max="17" width="17.0"/>
    <col customWidth="1" min="18" max="18" width="10.0"/>
    <col customWidth="1" min="19" max="19" width="12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c r="U1" s="2"/>
      <c r="V1" s="2"/>
      <c r="W1" s="2"/>
      <c r="X1" s="2"/>
      <c r="Y1" s="2"/>
      <c r="Z1" s="2"/>
      <c r="AA1" s="2"/>
      <c r="AB1" s="2"/>
      <c r="AC1" s="2"/>
      <c r="AD1" s="2"/>
      <c r="AE1" s="2"/>
    </row>
    <row r="2">
      <c r="A2" s="3" t="s">
        <v>19</v>
      </c>
      <c r="B2" s="3">
        <v>2003.0</v>
      </c>
      <c r="C2" s="3" t="s">
        <v>20</v>
      </c>
      <c r="D2" s="3" t="s">
        <v>21</v>
      </c>
      <c r="F2" s="3" t="s">
        <v>22</v>
      </c>
      <c r="G2" s="3" t="s">
        <v>23</v>
      </c>
      <c r="H2" s="3" t="s">
        <v>24</v>
      </c>
      <c r="I2" s="4">
        <v>2007.0</v>
      </c>
      <c r="J2" s="5">
        <v>2008.0</v>
      </c>
      <c r="K2" s="6">
        <v>44684.0</v>
      </c>
      <c r="M2" s="3" t="s">
        <v>25</v>
      </c>
      <c r="N2" s="7">
        <v>44608.0</v>
      </c>
      <c r="O2" s="3">
        <v>0.0</v>
      </c>
      <c r="P2" s="7"/>
      <c r="Q2" s="7">
        <v>45095.0</v>
      </c>
      <c r="R2" s="3">
        <v>3.0</v>
      </c>
      <c r="S2" s="3" t="s">
        <v>26</v>
      </c>
    </row>
    <row r="3">
      <c r="A3" s="3" t="s">
        <v>27</v>
      </c>
      <c r="B3" s="3">
        <v>2008.0</v>
      </c>
      <c r="C3" s="3" t="s">
        <v>28</v>
      </c>
      <c r="E3" s="3"/>
      <c r="F3" s="3" t="s">
        <v>29</v>
      </c>
      <c r="G3" s="3" t="s">
        <v>30</v>
      </c>
      <c r="H3" s="3" t="s">
        <v>31</v>
      </c>
      <c r="I3" s="4">
        <v>2009.0</v>
      </c>
      <c r="J3" s="5">
        <v>2013.0</v>
      </c>
      <c r="K3" s="6">
        <v>43587.0</v>
      </c>
      <c r="M3" s="3" t="s">
        <v>32</v>
      </c>
      <c r="N3" s="7">
        <v>43344.0</v>
      </c>
      <c r="O3" s="3">
        <v>0.0</v>
      </c>
      <c r="P3" s="8"/>
      <c r="Q3" s="8">
        <v>44876.0</v>
      </c>
      <c r="R3" s="9">
        <v>4.5</v>
      </c>
      <c r="S3" s="3" t="s">
        <v>33</v>
      </c>
    </row>
    <row r="4">
      <c r="A4" s="3" t="s">
        <v>19</v>
      </c>
      <c r="B4" s="3">
        <v>2002.0</v>
      </c>
      <c r="C4" s="3" t="s">
        <v>34</v>
      </c>
      <c r="D4" s="3" t="s">
        <v>35</v>
      </c>
      <c r="E4" s="3" t="s">
        <v>36</v>
      </c>
      <c r="F4" s="3" t="s">
        <v>22</v>
      </c>
      <c r="G4" s="3" t="s">
        <v>23</v>
      </c>
      <c r="H4" s="3" t="s">
        <v>24</v>
      </c>
      <c r="I4" s="4">
        <v>2004.0</v>
      </c>
      <c r="J4" s="5">
        <v>2014.0</v>
      </c>
      <c r="K4" s="6">
        <v>44683.0</v>
      </c>
      <c r="M4" s="3" t="s">
        <v>25</v>
      </c>
      <c r="N4" s="7">
        <v>44608.0</v>
      </c>
      <c r="O4" s="3">
        <v>0.0</v>
      </c>
      <c r="P4">
        <f t="shared" ref="P4:P5" si="1">O4*L4</f>
        <v>0</v>
      </c>
      <c r="Q4" s="7">
        <v>45303.0</v>
      </c>
      <c r="R4" s="3">
        <v>3.5</v>
      </c>
      <c r="S4" s="3" t="s">
        <v>37</v>
      </c>
    </row>
    <row r="5">
      <c r="A5" s="3" t="s">
        <v>38</v>
      </c>
      <c r="B5" s="3">
        <v>2005.0</v>
      </c>
      <c r="C5" s="3" t="s">
        <v>34</v>
      </c>
      <c r="D5" s="3" t="s">
        <v>39</v>
      </c>
      <c r="E5" s="3" t="s">
        <v>36</v>
      </c>
      <c r="F5" s="3" t="s">
        <v>40</v>
      </c>
      <c r="G5" s="3" t="s">
        <v>23</v>
      </c>
      <c r="H5" s="3" t="s">
        <v>41</v>
      </c>
      <c r="I5" s="4">
        <v>2007.0</v>
      </c>
      <c r="J5" s="5">
        <v>2015.0</v>
      </c>
      <c r="K5" s="6">
        <v>45050.0</v>
      </c>
      <c r="M5" s="3" t="s">
        <v>42</v>
      </c>
      <c r="N5" s="7">
        <v>45055.0</v>
      </c>
      <c r="O5" s="3">
        <v>1.0</v>
      </c>
      <c r="P5">
        <f t="shared" si="1"/>
        <v>0</v>
      </c>
    </row>
    <row r="6">
      <c r="A6" s="3" t="s">
        <v>43</v>
      </c>
      <c r="B6" s="3">
        <v>2010.0</v>
      </c>
      <c r="C6" s="3" t="s">
        <v>44</v>
      </c>
      <c r="D6" s="3" t="s">
        <v>45</v>
      </c>
      <c r="F6" s="3" t="s">
        <v>29</v>
      </c>
      <c r="G6" s="3" t="s">
        <v>44</v>
      </c>
      <c r="H6" s="3" t="s">
        <v>46</v>
      </c>
      <c r="I6" s="4">
        <v>2013.0</v>
      </c>
      <c r="J6" s="5">
        <v>2015.0</v>
      </c>
      <c r="K6" s="6">
        <v>43590.0</v>
      </c>
      <c r="L6" s="3">
        <v>20.0</v>
      </c>
      <c r="M6" s="3" t="s">
        <v>47</v>
      </c>
      <c r="N6" s="10">
        <v>43780.0</v>
      </c>
      <c r="O6" s="3">
        <v>0.0</v>
      </c>
      <c r="P6" s="9"/>
      <c r="Q6" s="9" t="s">
        <v>48</v>
      </c>
      <c r="R6" s="9" t="s">
        <v>49</v>
      </c>
      <c r="S6" s="3" t="s">
        <v>50</v>
      </c>
    </row>
    <row r="7">
      <c r="A7" s="3" t="s">
        <v>51</v>
      </c>
      <c r="B7" s="3">
        <v>2007.0</v>
      </c>
      <c r="C7" s="3" t="s">
        <v>52</v>
      </c>
      <c r="D7" s="3" t="s">
        <v>53</v>
      </c>
      <c r="F7" s="3" t="s">
        <v>54</v>
      </c>
      <c r="G7" s="3" t="s">
        <v>52</v>
      </c>
      <c r="I7" s="4">
        <v>2009.0</v>
      </c>
      <c r="J7" s="5">
        <v>2017.0</v>
      </c>
      <c r="K7" s="6">
        <v>43588.0</v>
      </c>
      <c r="L7" s="3">
        <v>21.0</v>
      </c>
      <c r="M7" s="3" t="s">
        <v>55</v>
      </c>
      <c r="N7" s="10">
        <v>43054.0</v>
      </c>
      <c r="O7" s="3">
        <v>0.0</v>
      </c>
      <c r="P7" s="10"/>
      <c r="Q7" s="10">
        <v>43750.0</v>
      </c>
      <c r="R7" s="3">
        <v>3.5</v>
      </c>
      <c r="S7" s="3" t="s">
        <v>56</v>
      </c>
    </row>
    <row r="8">
      <c r="A8" s="3" t="s">
        <v>57</v>
      </c>
      <c r="B8" s="3">
        <v>2012.0</v>
      </c>
      <c r="C8" s="3" t="s">
        <v>58</v>
      </c>
      <c r="F8" s="3" t="s">
        <v>29</v>
      </c>
      <c r="G8" s="3" t="s">
        <v>44</v>
      </c>
      <c r="H8" s="3" t="s">
        <v>59</v>
      </c>
      <c r="I8" s="4">
        <v>2013.0</v>
      </c>
      <c r="J8" s="5">
        <v>2017.0</v>
      </c>
      <c r="K8" s="6">
        <v>43954.0</v>
      </c>
      <c r="L8" s="3">
        <v>6.5</v>
      </c>
      <c r="M8" s="3" t="s">
        <v>55</v>
      </c>
      <c r="N8" s="10">
        <v>43786.0</v>
      </c>
      <c r="O8" s="3">
        <v>0.0</v>
      </c>
      <c r="P8" s="8"/>
      <c r="Q8" s="8">
        <v>44133.0</v>
      </c>
      <c r="R8" s="9">
        <v>3.0</v>
      </c>
      <c r="S8" s="3" t="s">
        <v>60</v>
      </c>
    </row>
    <row r="9">
      <c r="A9" s="3" t="s">
        <v>61</v>
      </c>
      <c r="B9" s="3">
        <v>2012.0</v>
      </c>
      <c r="C9" s="3" t="s">
        <v>62</v>
      </c>
      <c r="D9" s="3" t="s">
        <v>63</v>
      </c>
      <c r="F9" s="3" t="s">
        <v>29</v>
      </c>
      <c r="G9" s="3" t="s">
        <v>64</v>
      </c>
      <c r="H9" s="3" t="s">
        <v>65</v>
      </c>
      <c r="I9" s="4">
        <v>2013.0</v>
      </c>
      <c r="J9" s="5">
        <v>2017.0</v>
      </c>
      <c r="K9" s="6">
        <v>43588.0</v>
      </c>
      <c r="N9" s="7">
        <v>43145.0</v>
      </c>
      <c r="O9" s="3">
        <v>0.0</v>
      </c>
      <c r="P9" s="7"/>
      <c r="Q9" s="7">
        <v>43511.0</v>
      </c>
      <c r="R9" s="3">
        <v>4.5</v>
      </c>
      <c r="S9" s="3" t="s">
        <v>66</v>
      </c>
    </row>
    <row r="10">
      <c r="A10" s="3" t="s">
        <v>67</v>
      </c>
      <c r="B10" s="3">
        <v>2015.0</v>
      </c>
      <c r="C10" s="3" t="s">
        <v>68</v>
      </c>
      <c r="D10" s="3" t="s">
        <v>69</v>
      </c>
      <c r="E10" s="3" t="s">
        <v>70</v>
      </c>
      <c r="F10" s="3" t="s">
        <v>29</v>
      </c>
      <c r="G10" s="3" t="s">
        <v>71</v>
      </c>
      <c r="I10" s="4">
        <v>2016.0</v>
      </c>
      <c r="J10" s="5">
        <v>2017.0</v>
      </c>
      <c r="K10" s="6">
        <v>43955.0</v>
      </c>
      <c r="L10" s="3">
        <v>13.0</v>
      </c>
      <c r="M10" s="3" t="s">
        <v>55</v>
      </c>
      <c r="N10" s="9" t="s">
        <v>72</v>
      </c>
      <c r="O10" s="3">
        <v>0.0</v>
      </c>
      <c r="P10" s="9"/>
      <c r="Q10" s="9" t="s">
        <v>73</v>
      </c>
      <c r="R10" s="9" t="s">
        <v>74</v>
      </c>
      <c r="S10" s="3" t="s">
        <v>75</v>
      </c>
    </row>
    <row r="11">
      <c r="A11" s="3" t="s">
        <v>76</v>
      </c>
      <c r="B11" s="3">
        <v>2013.0</v>
      </c>
      <c r="C11" s="3" t="s">
        <v>62</v>
      </c>
      <c r="D11" s="3" t="s">
        <v>77</v>
      </c>
      <c r="E11" s="3" t="s">
        <v>63</v>
      </c>
      <c r="F11" s="3" t="s">
        <v>29</v>
      </c>
      <c r="G11" s="3" t="s">
        <v>64</v>
      </c>
      <c r="H11" s="3" t="s">
        <v>78</v>
      </c>
      <c r="I11" s="4">
        <v>2014.0</v>
      </c>
      <c r="J11" s="5">
        <v>2018.0</v>
      </c>
      <c r="K11" s="6">
        <v>43589.0</v>
      </c>
      <c r="L11" s="3">
        <v>21.9</v>
      </c>
      <c r="M11" s="3" t="s">
        <v>79</v>
      </c>
      <c r="N11" s="7">
        <v>43635.0</v>
      </c>
      <c r="O11" s="3">
        <v>0.0</v>
      </c>
      <c r="P11" s="7"/>
      <c r="Q11" s="7">
        <v>43686.0</v>
      </c>
      <c r="R11" s="3">
        <v>2.5</v>
      </c>
      <c r="S11" s="3" t="s">
        <v>80</v>
      </c>
    </row>
    <row r="12">
      <c r="A12" s="3" t="s">
        <v>81</v>
      </c>
      <c r="B12" s="3">
        <v>2013.0</v>
      </c>
      <c r="C12" s="3" t="s">
        <v>82</v>
      </c>
      <c r="D12" s="3" t="s">
        <v>83</v>
      </c>
      <c r="F12" s="3" t="s">
        <v>29</v>
      </c>
      <c r="G12" s="3" t="s">
        <v>84</v>
      </c>
      <c r="H12" s="11" t="s">
        <v>85</v>
      </c>
      <c r="I12" s="4">
        <v>2015.0</v>
      </c>
      <c r="J12" s="5">
        <v>2018.0</v>
      </c>
      <c r="K12" s="6">
        <v>43953.0</v>
      </c>
      <c r="L12" s="3">
        <v>20.0</v>
      </c>
      <c r="M12" s="3" t="s">
        <v>55</v>
      </c>
      <c r="N12" s="10">
        <v>43785.0</v>
      </c>
      <c r="O12" s="3">
        <v>0.0</v>
      </c>
      <c r="P12" s="12"/>
      <c r="Q12" s="12">
        <v>44043.0</v>
      </c>
      <c r="R12" s="9">
        <v>3.5</v>
      </c>
      <c r="S12" s="3" t="s">
        <v>86</v>
      </c>
    </row>
    <row r="13">
      <c r="A13" s="3" t="s">
        <v>81</v>
      </c>
      <c r="B13" s="3">
        <v>2015.0</v>
      </c>
      <c r="C13" s="3" t="s">
        <v>87</v>
      </c>
      <c r="D13" s="3" t="s">
        <v>88</v>
      </c>
      <c r="F13" s="3" t="s">
        <v>29</v>
      </c>
      <c r="G13" s="3" t="s">
        <v>84</v>
      </c>
      <c r="H13" s="3" t="s">
        <v>89</v>
      </c>
      <c r="I13" s="4">
        <v>2016.0</v>
      </c>
      <c r="J13" s="5">
        <v>2018.0</v>
      </c>
      <c r="K13" s="6">
        <v>43955.0</v>
      </c>
      <c r="L13" s="3">
        <v>14.0</v>
      </c>
      <c r="M13" s="3" t="s">
        <v>55</v>
      </c>
      <c r="N13" s="10">
        <v>43785.0</v>
      </c>
      <c r="O13" s="3">
        <v>0.0</v>
      </c>
      <c r="P13" s="12"/>
      <c r="Q13" s="12">
        <v>44502.0</v>
      </c>
      <c r="R13" s="9">
        <v>4.0</v>
      </c>
      <c r="S13" s="3" t="s">
        <v>90</v>
      </c>
    </row>
    <row r="14">
      <c r="A14" s="3" t="s">
        <v>91</v>
      </c>
      <c r="B14" s="3">
        <v>2015.0</v>
      </c>
      <c r="C14" s="3" t="s">
        <v>92</v>
      </c>
      <c r="F14" s="3" t="s">
        <v>22</v>
      </c>
      <c r="G14" s="3" t="s">
        <v>84</v>
      </c>
      <c r="H14" s="3" t="s">
        <v>93</v>
      </c>
      <c r="I14" s="4">
        <v>2016.0</v>
      </c>
      <c r="J14" s="5">
        <v>2018.0</v>
      </c>
      <c r="K14" s="6">
        <v>43589.0</v>
      </c>
      <c r="M14" s="3" t="s">
        <v>94</v>
      </c>
      <c r="N14" s="10">
        <v>43100.0</v>
      </c>
      <c r="O14" s="3">
        <v>0.0</v>
      </c>
      <c r="P14" s="7"/>
      <c r="Q14" s="7">
        <v>43539.0</v>
      </c>
      <c r="R14" s="3">
        <v>3.0</v>
      </c>
      <c r="S14" s="3" t="s">
        <v>95</v>
      </c>
    </row>
    <row r="15">
      <c r="A15" s="3" t="s">
        <v>96</v>
      </c>
      <c r="B15" s="3">
        <v>2016.0</v>
      </c>
      <c r="C15" s="3" t="s">
        <v>97</v>
      </c>
      <c r="D15" s="3" t="s">
        <v>98</v>
      </c>
      <c r="F15" s="3" t="s">
        <v>29</v>
      </c>
      <c r="G15" s="3" t="s">
        <v>71</v>
      </c>
      <c r="I15" s="4">
        <v>2017.0</v>
      </c>
      <c r="J15" s="5">
        <v>2018.0</v>
      </c>
      <c r="K15" s="6">
        <v>45781.0</v>
      </c>
      <c r="L15" s="3">
        <v>13.5</v>
      </c>
      <c r="M15" s="3" t="s">
        <v>99</v>
      </c>
      <c r="N15" s="7">
        <v>45704.0</v>
      </c>
      <c r="O15" s="3">
        <v>1.0</v>
      </c>
      <c r="P15">
        <f t="shared" ref="P15:P16" si="2">O15*L15</f>
        <v>13.5</v>
      </c>
    </row>
    <row r="16">
      <c r="A16" s="3" t="s">
        <v>100</v>
      </c>
      <c r="B16" s="3">
        <v>2014.0</v>
      </c>
      <c r="C16" s="3" t="s">
        <v>30</v>
      </c>
      <c r="D16" s="3" t="s">
        <v>101</v>
      </c>
      <c r="F16" s="3" t="s">
        <v>29</v>
      </c>
      <c r="G16" s="3" t="s">
        <v>30</v>
      </c>
      <c r="H16" s="3" t="s">
        <v>31</v>
      </c>
      <c r="I16" s="4">
        <v>2015.0</v>
      </c>
      <c r="J16" s="5">
        <v>2019.0</v>
      </c>
      <c r="K16" s="6">
        <v>43589.0</v>
      </c>
      <c r="M16" s="3" t="s">
        <v>32</v>
      </c>
      <c r="N16" s="7">
        <v>43344.0</v>
      </c>
      <c r="O16" s="3">
        <v>1.0</v>
      </c>
      <c r="P16">
        <f t="shared" si="2"/>
        <v>0</v>
      </c>
      <c r="Q16" s="13"/>
      <c r="R16" s="13"/>
    </row>
    <row r="17">
      <c r="A17" s="3" t="s">
        <v>57</v>
      </c>
      <c r="B17" s="3">
        <v>2014.0</v>
      </c>
      <c r="C17" s="3" t="s">
        <v>58</v>
      </c>
      <c r="F17" s="3" t="s">
        <v>29</v>
      </c>
      <c r="G17" s="3" t="s">
        <v>44</v>
      </c>
      <c r="H17" s="3" t="s">
        <v>59</v>
      </c>
      <c r="I17" s="4">
        <v>2015.0</v>
      </c>
      <c r="J17" s="5">
        <v>2019.0</v>
      </c>
      <c r="K17" s="6">
        <v>43954.0</v>
      </c>
      <c r="L17" s="3">
        <v>6.5</v>
      </c>
      <c r="M17" s="3" t="s">
        <v>55</v>
      </c>
      <c r="N17" s="10">
        <v>43786.0</v>
      </c>
      <c r="O17" s="3">
        <v>0.0</v>
      </c>
      <c r="P17" s="12"/>
      <c r="Q17" s="12">
        <v>44136.0</v>
      </c>
      <c r="R17" s="9">
        <v>3.5</v>
      </c>
      <c r="S17" s="3" t="s">
        <v>102</v>
      </c>
    </row>
    <row r="18">
      <c r="A18" s="3" t="s">
        <v>103</v>
      </c>
      <c r="B18" s="3">
        <v>2014.0</v>
      </c>
      <c r="C18" s="3" t="s">
        <v>104</v>
      </c>
      <c r="E18" s="3" t="s">
        <v>105</v>
      </c>
      <c r="F18" s="3" t="s">
        <v>29</v>
      </c>
      <c r="G18" s="3" t="s">
        <v>30</v>
      </c>
      <c r="H18" s="3" t="s">
        <v>31</v>
      </c>
      <c r="I18" s="4">
        <v>2015.0</v>
      </c>
      <c r="J18" s="5">
        <v>2019.0</v>
      </c>
      <c r="K18" s="6">
        <v>44685.0</v>
      </c>
      <c r="M18" s="3" t="s">
        <v>79</v>
      </c>
      <c r="N18" s="7">
        <v>44736.0</v>
      </c>
      <c r="O18" s="3">
        <v>0.0</v>
      </c>
      <c r="P18">
        <f t="shared" ref="P18:P19" si="3">O18*L18</f>
        <v>0</v>
      </c>
      <c r="Q18" s="9" t="s">
        <v>106</v>
      </c>
      <c r="R18" s="9" t="s">
        <v>107</v>
      </c>
      <c r="S18" s="3" t="s">
        <v>108</v>
      </c>
    </row>
    <row r="19">
      <c r="A19" s="3" t="s">
        <v>109</v>
      </c>
      <c r="B19" s="3">
        <v>2014.0</v>
      </c>
      <c r="C19" s="3" t="s">
        <v>104</v>
      </c>
      <c r="D19" s="3" t="s">
        <v>110</v>
      </c>
      <c r="E19" s="3" t="s">
        <v>110</v>
      </c>
      <c r="F19" s="3" t="s">
        <v>29</v>
      </c>
      <c r="G19" s="3" t="s">
        <v>30</v>
      </c>
      <c r="H19" s="3" t="s">
        <v>31</v>
      </c>
      <c r="I19" s="4">
        <v>2015.0</v>
      </c>
      <c r="J19" s="5">
        <v>2019.0</v>
      </c>
      <c r="K19" s="6">
        <v>43589.0</v>
      </c>
      <c r="M19" s="3" t="s">
        <v>32</v>
      </c>
      <c r="N19" s="7">
        <v>43344.0</v>
      </c>
      <c r="O19" s="3">
        <v>1.0</v>
      </c>
      <c r="P19">
        <f t="shared" si="3"/>
        <v>0</v>
      </c>
      <c r="Q19" s="13"/>
      <c r="R19" s="13"/>
    </row>
    <row r="20">
      <c r="A20" s="3" t="s">
        <v>111</v>
      </c>
      <c r="B20" s="3">
        <v>2016.0</v>
      </c>
      <c r="C20" s="3" t="s">
        <v>92</v>
      </c>
      <c r="D20" s="3" t="s">
        <v>112</v>
      </c>
      <c r="F20" s="3" t="s">
        <v>29</v>
      </c>
      <c r="G20" s="3" t="s">
        <v>84</v>
      </c>
      <c r="H20" s="3" t="s">
        <v>113</v>
      </c>
      <c r="I20" s="4">
        <v>2017.0</v>
      </c>
      <c r="J20" s="14">
        <v>2019.0</v>
      </c>
      <c r="K20" s="6">
        <v>43589.0</v>
      </c>
      <c r="M20" s="3" t="s">
        <v>94</v>
      </c>
      <c r="N20" s="10">
        <v>43100.0</v>
      </c>
      <c r="O20" s="3">
        <v>0.0</v>
      </c>
      <c r="P20" s="10"/>
      <c r="Q20" s="10">
        <v>43763.0</v>
      </c>
      <c r="R20" s="3">
        <v>2.0</v>
      </c>
      <c r="S20" s="3" t="s">
        <v>114</v>
      </c>
    </row>
    <row r="21">
      <c r="A21" s="3" t="s">
        <v>115</v>
      </c>
      <c r="B21" s="3">
        <v>2010.0</v>
      </c>
      <c r="C21" s="3" t="s">
        <v>116</v>
      </c>
      <c r="D21" s="3" t="s">
        <v>117</v>
      </c>
      <c r="E21" s="3" t="s">
        <v>110</v>
      </c>
      <c r="F21" s="3" t="s">
        <v>40</v>
      </c>
      <c r="G21" s="3" t="s">
        <v>23</v>
      </c>
      <c r="H21" s="3" t="s">
        <v>41</v>
      </c>
      <c r="I21" s="4">
        <v>2012.0</v>
      </c>
      <c r="J21" s="5">
        <v>2020.0</v>
      </c>
      <c r="K21" s="6">
        <v>43589.0</v>
      </c>
      <c r="L21" s="3">
        <v>27.0</v>
      </c>
      <c r="M21" s="3" t="s">
        <v>118</v>
      </c>
      <c r="N21" s="7">
        <v>43436.0</v>
      </c>
      <c r="O21" s="3">
        <v>0.0</v>
      </c>
      <c r="P21" s="8"/>
      <c r="Q21" s="8">
        <v>44561.0</v>
      </c>
      <c r="R21" s="9">
        <v>4.5</v>
      </c>
      <c r="S21" s="3" t="s">
        <v>119</v>
      </c>
    </row>
    <row r="22">
      <c r="A22" s="3" t="s">
        <v>120</v>
      </c>
      <c r="B22" s="3">
        <v>2015.0</v>
      </c>
      <c r="C22" s="3" t="s">
        <v>121</v>
      </c>
      <c r="E22" s="3" t="s">
        <v>63</v>
      </c>
      <c r="F22" s="3" t="s">
        <v>29</v>
      </c>
      <c r="G22" s="3" t="s">
        <v>122</v>
      </c>
      <c r="H22" s="3" t="s">
        <v>123</v>
      </c>
      <c r="I22" s="4">
        <v>2016.0</v>
      </c>
      <c r="J22" s="5">
        <v>2020.0</v>
      </c>
      <c r="K22" s="6">
        <v>45050.0</v>
      </c>
      <c r="L22" s="3">
        <v>45.5</v>
      </c>
      <c r="M22" s="3" t="s">
        <v>79</v>
      </c>
      <c r="N22" s="7">
        <v>44944.0</v>
      </c>
      <c r="O22" s="3">
        <v>0.0</v>
      </c>
      <c r="P22">
        <f>O22*L22</f>
        <v>0</v>
      </c>
      <c r="Q22" s="7">
        <v>45870.0</v>
      </c>
      <c r="R22" s="3">
        <v>4.0</v>
      </c>
      <c r="S22" s="3" t="s">
        <v>124</v>
      </c>
    </row>
    <row r="23">
      <c r="A23" s="3" t="s">
        <v>125</v>
      </c>
      <c r="B23" s="3">
        <v>2014.0</v>
      </c>
      <c r="C23" s="3" t="s">
        <v>126</v>
      </c>
      <c r="D23" s="3" t="s">
        <v>127</v>
      </c>
      <c r="E23" s="3" t="s">
        <v>128</v>
      </c>
      <c r="F23" s="3" t="s">
        <v>22</v>
      </c>
      <c r="G23" s="3" t="s">
        <v>129</v>
      </c>
      <c r="H23" s="3" t="s">
        <v>93</v>
      </c>
      <c r="I23" s="4">
        <v>2016.0</v>
      </c>
      <c r="J23" s="5">
        <v>2020.0</v>
      </c>
      <c r="K23" s="6">
        <v>43590.0</v>
      </c>
      <c r="L23" s="3">
        <v>11.5</v>
      </c>
      <c r="M23" s="3" t="s">
        <v>130</v>
      </c>
      <c r="N23" s="7">
        <v>43490.0</v>
      </c>
      <c r="O23" s="3">
        <v>0.0</v>
      </c>
      <c r="P23" s="9"/>
      <c r="Q23" s="9" t="s">
        <v>131</v>
      </c>
      <c r="R23" s="9" t="s">
        <v>132</v>
      </c>
      <c r="S23" s="3" t="s">
        <v>133</v>
      </c>
    </row>
    <row r="24">
      <c r="A24" s="3" t="s">
        <v>134</v>
      </c>
      <c r="B24" s="3">
        <v>2014.0</v>
      </c>
      <c r="C24" s="3" t="s">
        <v>135</v>
      </c>
      <c r="D24" s="3" t="s">
        <v>136</v>
      </c>
      <c r="E24" s="3" t="s">
        <v>137</v>
      </c>
      <c r="F24" s="3" t="s">
        <v>29</v>
      </c>
      <c r="G24" s="3" t="s">
        <v>138</v>
      </c>
      <c r="H24" s="3" t="s">
        <v>139</v>
      </c>
      <c r="I24" s="4">
        <v>2016.0</v>
      </c>
      <c r="J24" s="3">
        <v>2020.0</v>
      </c>
      <c r="K24" s="6">
        <v>43589.0</v>
      </c>
      <c r="L24" s="3">
        <v>11.0</v>
      </c>
      <c r="M24" s="3" t="s">
        <v>140</v>
      </c>
      <c r="N24" s="10">
        <v>43449.0</v>
      </c>
      <c r="O24" s="3">
        <v>0.0</v>
      </c>
      <c r="P24" s="9"/>
      <c r="Q24" s="9" t="s">
        <v>141</v>
      </c>
      <c r="R24" s="9" t="s">
        <v>142</v>
      </c>
      <c r="S24" s="3" t="s">
        <v>143</v>
      </c>
    </row>
    <row r="25">
      <c r="A25" s="3" t="s">
        <v>144</v>
      </c>
      <c r="B25" s="3">
        <v>2015.0</v>
      </c>
      <c r="C25" s="3" t="s">
        <v>145</v>
      </c>
      <c r="E25" s="3" t="s">
        <v>146</v>
      </c>
      <c r="F25" s="3" t="s">
        <v>22</v>
      </c>
      <c r="G25" s="3" t="s">
        <v>129</v>
      </c>
      <c r="H25" s="3" t="s">
        <v>93</v>
      </c>
      <c r="I25" s="4">
        <v>2016.0</v>
      </c>
      <c r="J25" s="3">
        <v>2020.0</v>
      </c>
      <c r="K25" s="6">
        <v>43589.0</v>
      </c>
      <c r="L25" s="3">
        <v>9.95</v>
      </c>
      <c r="M25" s="3" t="s">
        <v>147</v>
      </c>
      <c r="N25" s="7">
        <v>43140.0</v>
      </c>
      <c r="O25" s="3">
        <v>0.0</v>
      </c>
      <c r="P25" s="9"/>
      <c r="Q25" s="9" t="s">
        <v>148</v>
      </c>
      <c r="R25" s="9" t="s">
        <v>74</v>
      </c>
      <c r="S25" s="3" t="s">
        <v>149</v>
      </c>
    </row>
    <row r="26">
      <c r="A26" s="3" t="s">
        <v>150</v>
      </c>
      <c r="B26" s="3">
        <v>2015.0</v>
      </c>
      <c r="C26" s="3" t="s">
        <v>62</v>
      </c>
      <c r="E26" s="3" t="s">
        <v>63</v>
      </c>
      <c r="F26" s="3" t="s">
        <v>29</v>
      </c>
      <c r="G26" s="3" t="s">
        <v>64</v>
      </c>
      <c r="H26" s="3" t="s">
        <v>78</v>
      </c>
      <c r="I26" s="4">
        <v>2016.0</v>
      </c>
      <c r="J26" s="5">
        <v>2020.0</v>
      </c>
      <c r="K26" s="6">
        <v>43589.0</v>
      </c>
      <c r="L26" s="3">
        <v>16.5</v>
      </c>
      <c r="M26" s="3" t="s">
        <v>79</v>
      </c>
      <c r="N26" s="7">
        <v>43635.0</v>
      </c>
      <c r="O26" s="3">
        <v>1.0</v>
      </c>
      <c r="P26">
        <f>O26*L26</f>
        <v>16.5</v>
      </c>
      <c r="Q26" s="13"/>
      <c r="R26" s="13"/>
    </row>
    <row r="27">
      <c r="A27" s="3" t="s">
        <v>151</v>
      </c>
      <c r="B27" s="3">
        <v>2015.0</v>
      </c>
      <c r="C27" s="3" t="s">
        <v>152</v>
      </c>
      <c r="D27" s="3" t="s">
        <v>153</v>
      </c>
      <c r="F27" s="3" t="s">
        <v>29</v>
      </c>
      <c r="G27" s="3" t="s">
        <v>154</v>
      </c>
      <c r="H27" s="3" t="s">
        <v>155</v>
      </c>
      <c r="I27" s="4">
        <v>2017.0</v>
      </c>
      <c r="J27" s="3">
        <v>2020.0</v>
      </c>
      <c r="K27" s="6">
        <v>43590.0</v>
      </c>
      <c r="L27" s="3">
        <v>9.9</v>
      </c>
      <c r="M27" s="3" t="s">
        <v>156</v>
      </c>
      <c r="N27" s="7">
        <v>43114.0</v>
      </c>
      <c r="O27" s="3">
        <v>0.0</v>
      </c>
      <c r="P27" s="9"/>
      <c r="Q27" s="9" t="s">
        <v>157</v>
      </c>
      <c r="R27" s="9" t="s">
        <v>158</v>
      </c>
      <c r="S27" s="3" t="s">
        <v>159</v>
      </c>
    </row>
    <row r="28">
      <c r="A28" s="3" t="s">
        <v>160</v>
      </c>
      <c r="B28" s="3">
        <v>2015.0</v>
      </c>
      <c r="C28" s="3" t="s">
        <v>161</v>
      </c>
      <c r="D28" s="3" t="s">
        <v>162</v>
      </c>
      <c r="F28" s="3" t="s">
        <v>22</v>
      </c>
      <c r="G28" s="3" t="s">
        <v>163</v>
      </c>
      <c r="H28" s="3" t="s">
        <v>164</v>
      </c>
      <c r="I28" s="4">
        <v>2017.0</v>
      </c>
      <c r="J28" s="5">
        <v>2020.0</v>
      </c>
      <c r="K28" s="6">
        <v>43955.0</v>
      </c>
      <c r="M28" s="3" t="s">
        <v>165</v>
      </c>
      <c r="N28" s="7">
        <v>43945.0</v>
      </c>
      <c r="O28" s="3">
        <v>0.0</v>
      </c>
      <c r="P28" s="7"/>
      <c r="Q28" s="7">
        <v>44220.0</v>
      </c>
      <c r="R28" s="3">
        <v>4.0</v>
      </c>
      <c r="S28" s="3" t="s">
        <v>166</v>
      </c>
    </row>
    <row r="29">
      <c r="A29" s="3" t="s">
        <v>160</v>
      </c>
      <c r="B29" s="3">
        <v>2015.0</v>
      </c>
      <c r="C29" s="3" t="s">
        <v>161</v>
      </c>
      <c r="D29" s="3" t="s">
        <v>167</v>
      </c>
      <c r="E29" s="3" t="s">
        <v>168</v>
      </c>
      <c r="F29" s="3" t="s">
        <v>22</v>
      </c>
      <c r="G29" s="3" t="s">
        <v>163</v>
      </c>
      <c r="H29" s="3" t="s">
        <v>164</v>
      </c>
      <c r="I29" s="4">
        <v>2017.0</v>
      </c>
      <c r="J29" s="5">
        <v>2020.0</v>
      </c>
      <c r="K29" s="6">
        <v>43955.0</v>
      </c>
      <c r="M29" s="3" t="s">
        <v>165</v>
      </c>
      <c r="N29" s="7">
        <v>43945.0</v>
      </c>
      <c r="O29" s="3">
        <v>0.0</v>
      </c>
      <c r="P29" s="7"/>
      <c r="Q29" s="7">
        <v>44368.0</v>
      </c>
      <c r="R29" s="3">
        <v>4.0</v>
      </c>
      <c r="S29" s="3" t="s">
        <v>169</v>
      </c>
    </row>
    <row r="30">
      <c r="A30" s="3" t="s">
        <v>81</v>
      </c>
      <c r="B30" s="3">
        <v>2015.0</v>
      </c>
      <c r="C30" s="3" t="s">
        <v>82</v>
      </c>
      <c r="D30" s="3" t="s">
        <v>83</v>
      </c>
      <c r="F30" s="3" t="s">
        <v>29</v>
      </c>
      <c r="G30" s="3" t="s">
        <v>84</v>
      </c>
      <c r="H30" s="11" t="s">
        <v>85</v>
      </c>
      <c r="I30" s="4">
        <v>2017.0</v>
      </c>
      <c r="J30" s="5">
        <v>2020.0</v>
      </c>
      <c r="K30" s="6">
        <v>43955.0</v>
      </c>
      <c r="L30" s="3">
        <v>20.0</v>
      </c>
      <c r="M30" s="3" t="s">
        <v>55</v>
      </c>
      <c r="N30" s="7">
        <v>43975.0</v>
      </c>
      <c r="O30" s="3">
        <v>1.0</v>
      </c>
      <c r="P30">
        <f>O30*L30</f>
        <v>20</v>
      </c>
    </row>
    <row r="31">
      <c r="A31" s="3" t="s">
        <v>170</v>
      </c>
      <c r="B31" s="3">
        <v>2015.0</v>
      </c>
      <c r="C31" s="3" t="s">
        <v>129</v>
      </c>
      <c r="F31" s="3" t="s">
        <v>22</v>
      </c>
      <c r="G31" s="3" t="s">
        <v>129</v>
      </c>
      <c r="H31" s="3" t="s">
        <v>93</v>
      </c>
      <c r="I31" s="15">
        <v>2017.0</v>
      </c>
      <c r="J31" s="3">
        <v>2020.0</v>
      </c>
      <c r="K31" s="6">
        <v>43589.0</v>
      </c>
      <c r="M31" s="3" t="s">
        <v>171</v>
      </c>
      <c r="N31" s="7">
        <v>43040.0</v>
      </c>
      <c r="O31" s="3">
        <v>0.0</v>
      </c>
      <c r="P31" s="7"/>
      <c r="Q31" s="7">
        <v>43484.0</v>
      </c>
      <c r="R31" s="3">
        <v>3.5</v>
      </c>
      <c r="S31" s="3" t="s">
        <v>172</v>
      </c>
    </row>
    <row r="32">
      <c r="A32" s="3" t="s">
        <v>173</v>
      </c>
      <c r="B32" s="3">
        <v>2017.0</v>
      </c>
      <c r="C32" s="3" t="s">
        <v>174</v>
      </c>
      <c r="D32" s="3" t="s">
        <v>175</v>
      </c>
      <c r="F32" s="3" t="s">
        <v>22</v>
      </c>
      <c r="G32" s="3" t="s">
        <v>176</v>
      </c>
      <c r="H32" s="3" t="s">
        <v>177</v>
      </c>
      <c r="I32" s="4">
        <v>2018.0</v>
      </c>
      <c r="J32" s="3">
        <v>2020.0</v>
      </c>
      <c r="L32" s="3">
        <v>4.95</v>
      </c>
      <c r="M32" s="3" t="s">
        <v>178</v>
      </c>
      <c r="N32" s="7">
        <v>43595.0</v>
      </c>
      <c r="O32" s="3">
        <v>0.0</v>
      </c>
      <c r="P32" s="9"/>
      <c r="Q32" s="9" t="s">
        <v>179</v>
      </c>
      <c r="R32" s="9" t="s">
        <v>74</v>
      </c>
      <c r="S32" s="3" t="s">
        <v>180</v>
      </c>
    </row>
    <row r="33">
      <c r="A33" s="3" t="s">
        <v>181</v>
      </c>
      <c r="B33" s="3">
        <v>2018.0</v>
      </c>
      <c r="C33" s="3" t="s">
        <v>182</v>
      </c>
      <c r="D33" s="3" t="s">
        <v>183</v>
      </c>
      <c r="F33" s="3" t="s">
        <v>29</v>
      </c>
      <c r="G33" s="3" t="s">
        <v>71</v>
      </c>
      <c r="I33" s="4">
        <v>2019.0</v>
      </c>
      <c r="J33" s="5">
        <v>2020.0</v>
      </c>
      <c r="K33" s="6">
        <v>45417.0</v>
      </c>
      <c r="L33" s="3">
        <v>17.1</v>
      </c>
      <c r="M33" s="3" t="s">
        <v>184</v>
      </c>
      <c r="N33" s="10">
        <v>45289.0</v>
      </c>
      <c r="O33" s="3">
        <v>1.0</v>
      </c>
      <c r="P33">
        <f>O33*L33</f>
        <v>17.1</v>
      </c>
      <c r="Q33" s="7">
        <v>45305.0</v>
      </c>
      <c r="R33" s="3">
        <v>4.0</v>
      </c>
      <c r="S33" s="3" t="s">
        <v>185</v>
      </c>
    </row>
    <row r="34">
      <c r="A34" s="3" t="s">
        <v>43</v>
      </c>
      <c r="B34" s="3">
        <v>2011.0</v>
      </c>
      <c r="C34" s="3" t="s">
        <v>186</v>
      </c>
      <c r="D34" s="3" t="s">
        <v>187</v>
      </c>
      <c r="F34" s="3" t="s">
        <v>29</v>
      </c>
      <c r="G34" s="3" t="s">
        <v>44</v>
      </c>
      <c r="H34" s="3" t="s">
        <v>59</v>
      </c>
      <c r="I34" s="4">
        <v>2013.0</v>
      </c>
      <c r="J34" s="5">
        <v>2021.0</v>
      </c>
      <c r="K34" s="6">
        <v>43588.0</v>
      </c>
      <c r="L34" s="3">
        <v>14.0</v>
      </c>
      <c r="M34" s="3" t="s">
        <v>47</v>
      </c>
      <c r="N34" s="10">
        <v>43780.0</v>
      </c>
      <c r="O34" s="3">
        <v>0.0</v>
      </c>
      <c r="P34" s="9"/>
      <c r="Q34" s="9" t="s">
        <v>188</v>
      </c>
      <c r="R34" s="9" t="s">
        <v>142</v>
      </c>
      <c r="S34" s="3" t="s">
        <v>189</v>
      </c>
    </row>
    <row r="35">
      <c r="A35" s="3" t="s">
        <v>134</v>
      </c>
      <c r="B35" s="3">
        <v>2015.0</v>
      </c>
      <c r="C35" s="3" t="s">
        <v>135</v>
      </c>
      <c r="D35" s="3" t="s">
        <v>136</v>
      </c>
      <c r="E35" s="3" t="s">
        <v>137</v>
      </c>
      <c r="F35" s="3" t="s">
        <v>29</v>
      </c>
      <c r="G35" s="3" t="s">
        <v>138</v>
      </c>
      <c r="H35" s="3" t="s">
        <v>139</v>
      </c>
      <c r="I35" s="4">
        <v>2017.0</v>
      </c>
      <c r="J35" s="5">
        <v>2021.0</v>
      </c>
      <c r="K35" s="6">
        <v>43588.0</v>
      </c>
      <c r="L35" s="3">
        <v>12.5</v>
      </c>
      <c r="M35" s="3" t="s">
        <v>190</v>
      </c>
      <c r="N35" s="7">
        <v>43740.0</v>
      </c>
      <c r="O35" s="3">
        <v>1.0</v>
      </c>
      <c r="P35">
        <f>O35*L35</f>
        <v>12.5</v>
      </c>
      <c r="Q35" s="12">
        <v>44509.0</v>
      </c>
      <c r="R35" s="9">
        <v>4.5</v>
      </c>
      <c r="S35" s="3" t="s">
        <v>191</v>
      </c>
    </row>
    <row r="36">
      <c r="A36" s="3" t="s">
        <v>192</v>
      </c>
      <c r="B36" s="3">
        <v>2015.0</v>
      </c>
      <c r="C36" s="3" t="s">
        <v>193</v>
      </c>
      <c r="D36" s="3" t="s">
        <v>194</v>
      </c>
      <c r="F36" s="3" t="s">
        <v>22</v>
      </c>
      <c r="G36" s="3" t="s">
        <v>163</v>
      </c>
      <c r="H36" s="3" t="s">
        <v>195</v>
      </c>
      <c r="I36" s="4">
        <v>2018.0</v>
      </c>
      <c r="J36" s="5">
        <v>2021.0</v>
      </c>
      <c r="K36" s="6">
        <v>43589.0</v>
      </c>
      <c r="L36" s="3">
        <v>15.5</v>
      </c>
      <c r="M36" s="3" t="s">
        <v>99</v>
      </c>
      <c r="N36" s="7">
        <v>43617.0</v>
      </c>
      <c r="O36" s="3">
        <v>0.0</v>
      </c>
      <c r="P36" s="12"/>
      <c r="Q36" s="12">
        <v>44742.0</v>
      </c>
      <c r="R36" s="9">
        <v>4.0</v>
      </c>
      <c r="S36" s="3" t="s">
        <v>196</v>
      </c>
    </row>
    <row r="37">
      <c r="A37" s="3" t="s">
        <v>197</v>
      </c>
      <c r="B37" s="3">
        <v>2016.0</v>
      </c>
      <c r="C37" s="3" t="s">
        <v>198</v>
      </c>
      <c r="D37" s="3" t="s">
        <v>199</v>
      </c>
      <c r="F37" s="3" t="s">
        <v>22</v>
      </c>
      <c r="G37" s="3" t="s">
        <v>64</v>
      </c>
      <c r="H37" s="3" t="s">
        <v>24</v>
      </c>
      <c r="I37" s="4">
        <v>2018.0</v>
      </c>
      <c r="J37" s="3">
        <v>2021.0</v>
      </c>
      <c r="K37" s="6">
        <v>43590.0</v>
      </c>
      <c r="N37" s="7">
        <v>43145.0</v>
      </c>
      <c r="O37" s="3">
        <v>0.0</v>
      </c>
      <c r="P37" s="7"/>
      <c r="Q37" s="7">
        <v>43540.0</v>
      </c>
      <c r="R37" s="3">
        <v>3.5</v>
      </c>
      <c r="S37" s="3" t="s">
        <v>200</v>
      </c>
    </row>
    <row r="38">
      <c r="A38" s="3" t="s">
        <v>201</v>
      </c>
      <c r="B38" s="3">
        <v>2017.0</v>
      </c>
      <c r="C38" s="3" t="s">
        <v>202</v>
      </c>
      <c r="D38" s="3" t="s">
        <v>203</v>
      </c>
      <c r="F38" s="3" t="s">
        <v>204</v>
      </c>
      <c r="G38" s="3" t="s">
        <v>71</v>
      </c>
      <c r="H38" s="3" t="s">
        <v>205</v>
      </c>
      <c r="I38" s="4">
        <v>2018.0</v>
      </c>
      <c r="J38" s="3">
        <v>2021.0</v>
      </c>
      <c r="L38" s="3">
        <v>5.5</v>
      </c>
      <c r="M38" s="3" t="s">
        <v>55</v>
      </c>
      <c r="N38" s="7">
        <v>43975.0</v>
      </c>
      <c r="O38" s="3">
        <v>0.0</v>
      </c>
      <c r="P38" s="7"/>
      <c r="Q38" s="7">
        <v>43984.0</v>
      </c>
      <c r="R38" s="3">
        <v>2.0</v>
      </c>
      <c r="S38" s="3" t="s">
        <v>206</v>
      </c>
    </row>
    <row r="39">
      <c r="A39" s="3" t="s">
        <v>81</v>
      </c>
      <c r="B39" s="3">
        <v>2016.0</v>
      </c>
      <c r="C39" s="3" t="s">
        <v>82</v>
      </c>
      <c r="D39" s="3" t="s">
        <v>207</v>
      </c>
      <c r="F39" s="3" t="s">
        <v>29</v>
      </c>
      <c r="G39" s="3" t="s">
        <v>84</v>
      </c>
      <c r="H39" s="3" t="s">
        <v>208</v>
      </c>
      <c r="I39" s="4">
        <v>2018.0</v>
      </c>
      <c r="J39" s="5">
        <v>2021.0</v>
      </c>
      <c r="K39" s="6">
        <v>43955.0</v>
      </c>
      <c r="L39" s="3">
        <v>12.0</v>
      </c>
      <c r="M39" s="3" t="s">
        <v>55</v>
      </c>
      <c r="N39" s="9" t="s">
        <v>209</v>
      </c>
      <c r="O39" s="3">
        <v>0.0</v>
      </c>
      <c r="P39" s="9"/>
      <c r="Q39" s="9" t="s">
        <v>210</v>
      </c>
      <c r="R39" s="9" t="s">
        <v>74</v>
      </c>
      <c r="S39" s="3" t="s">
        <v>211</v>
      </c>
    </row>
    <row r="40">
      <c r="A40" s="3" t="s">
        <v>212</v>
      </c>
      <c r="B40" s="3">
        <v>2015.0</v>
      </c>
      <c r="C40" s="3" t="s">
        <v>213</v>
      </c>
      <c r="F40" s="3" t="s">
        <v>29</v>
      </c>
      <c r="G40" s="3" t="s">
        <v>71</v>
      </c>
      <c r="H40" s="3" t="s">
        <v>214</v>
      </c>
      <c r="I40" s="4">
        <v>2018.0</v>
      </c>
      <c r="J40" s="5">
        <v>2021.0</v>
      </c>
      <c r="K40" s="6">
        <v>43589.0</v>
      </c>
      <c r="M40" s="3" t="s">
        <v>215</v>
      </c>
      <c r="N40" s="7">
        <v>43344.0</v>
      </c>
      <c r="O40" s="3">
        <v>0.0</v>
      </c>
      <c r="P40">
        <f t="shared" ref="P40:P41" si="4">O40*L40</f>
        <v>0</v>
      </c>
      <c r="Q40" s="12">
        <v>45744.0</v>
      </c>
      <c r="R40" s="13"/>
      <c r="S40" s="3" t="s">
        <v>216</v>
      </c>
    </row>
    <row r="41">
      <c r="A41" s="3" t="s">
        <v>81</v>
      </c>
      <c r="B41" s="3">
        <v>2018.0</v>
      </c>
      <c r="C41" s="3" t="s">
        <v>217</v>
      </c>
      <c r="D41" s="3" t="s">
        <v>88</v>
      </c>
      <c r="F41" s="3" t="s">
        <v>29</v>
      </c>
      <c r="G41" s="3" t="s">
        <v>84</v>
      </c>
      <c r="H41" s="3" t="s">
        <v>89</v>
      </c>
      <c r="I41" s="4">
        <v>2019.0</v>
      </c>
      <c r="J41" s="5">
        <v>2021.0</v>
      </c>
      <c r="K41" s="6">
        <v>43954.0</v>
      </c>
      <c r="L41" s="3">
        <v>14.0</v>
      </c>
      <c r="M41" s="3" t="s">
        <v>55</v>
      </c>
      <c r="N41" s="7">
        <v>43975.0</v>
      </c>
      <c r="O41" s="3">
        <v>0.0</v>
      </c>
      <c r="P41">
        <f t="shared" si="4"/>
        <v>0</v>
      </c>
      <c r="Q41" s="12">
        <v>45755.0</v>
      </c>
      <c r="R41" s="9">
        <v>3.5</v>
      </c>
      <c r="S41" s="3" t="s">
        <v>218</v>
      </c>
    </row>
    <row r="42">
      <c r="A42" s="3" t="s">
        <v>219</v>
      </c>
      <c r="B42" s="3">
        <v>2019.0</v>
      </c>
      <c r="C42" s="3" t="s">
        <v>220</v>
      </c>
      <c r="D42" s="3" t="s">
        <v>221</v>
      </c>
      <c r="F42" s="3" t="s">
        <v>204</v>
      </c>
      <c r="G42" s="3" t="s">
        <v>222</v>
      </c>
      <c r="I42" s="4">
        <v>2020.0</v>
      </c>
      <c r="J42" s="5">
        <v>2021.0</v>
      </c>
      <c r="K42" s="6">
        <v>44319.0</v>
      </c>
      <c r="L42" s="3">
        <v>5.6</v>
      </c>
      <c r="M42" s="3" t="s">
        <v>184</v>
      </c>
      <c r="N42" s="7">
        <v>44345.0</v>
      </c>
      <c r="O42" s="3">
        <v>0.0</v>
      </c>
      <c r="P42" s="9"/>
      <c r="Q42" s="9" t="s">
        <v>223</v>
      </c>
      <c r="R42" s="9" t="s">
        <v>224</v>
      </c>
      <c r="S42" s="3" t="s">
        <v>225</v>
      </c>
    </row>
    <row r="43">
      <c r="A43" s="3" t="s">
        <v>226</v>
      </c>
      <c r="B43" s="3">
        <v>2012.0</v>
      </c>
      <c r="C43" s="3" t="s">
        <v>52</v>
      </c>
      <c r="D43" s="3" t="s">
        <v>227</v>
      </c>
      <c r="F43" s="3" t="s">
        <v>54</v>
      </c>
      <c r="G43" s="3" t="s">
        <v>52</v>
      </c>
      <c r="I43" s="4">
        <v>2014.0</v>
      </c>
      <c r="J43" s="5">
        <v>2022.0</v>
      </c>
      <c r="K43" s="6">
        <v>43589.0</v>
      </c>
      <c r="M43" s="3" t="s">
        <v>99</v>
      </c>
      <c r="N43" s="7">
        <v>43519.0</v>
      </c>
      <c r="O43" s="3">
        <v>0.0</v>
      </c>
      <c r="P43" s="9"/>
      <c r="Q43" s="9" t="s">
        <v>228</v>
      </c>
      <c r="R43" s="9" t="s">
        <v>229</v>
      </c>
      <c r="S43" s="3" t="s">
        <v>230</v>
      </c>
    </row>
    <row r="44">
      <c r="A44" s="16" t="s">
        <v>231</v>
      </c>
      <c r="B44" s="3">
        <v>2012.0</v>
      </c>
      <c r="C44" s="3" t="s">
        <v>232</v>
      </c>
      <c r="D44" s="3" t="s">
        <v>233</v>
      </c>
      <c r="F44" s="3" t="s">
        <v>29</v>
      </c>
      <c r="G44" s="3" t="s">
        <v>154</v>
      </c>
      <c r="H44" s="3" t="s">
        <v>234</v>
      </c>
      <c r="I44" s="4">
        <v>2015.0</v>
      </c>
      <c r="J44" s="5">
        <v>2022.0</v>
      </c>
      <c r="K44" s="6">
        <v>44320.0</v>
      </c>
      <c r="L44" s="3">
        <v>19.99</v>
      </c>
      <c r="M44" s="3" t="s">
        <v>235</v>
      </c>
      <c r="N44" s="7">
        <v>44464.0</v>
      </c>
      <c r="O44" s="3">
        <v>0.0</v>
      </c>
      <c r="P44" s="7"/>
      <c r="Q44" s="7">
        <v>45178.0</v>
      </c>
      <c r="R44" s="3">
        <v>4.5</v>
      </c>
      <c r="S44" s="3" t="s">
        <v>236</v>
      </c>
    </row>
    <row r="45">
      <c r="A45" s="3" t="s">
        <v>237</v>
      </c>
      <c r="B45" s="3">
        <v>2012.0</v>
      </c>
      <c r="C45" s="3" t="s">
        <v>238</v>
      </c>
      <c r="D45" s="3" t="s">
        <v>239</v>
      </c>
      <c r="E45" s="3" t="s">
        <v>128</v>
      </c>
      <c r="F45" s="3" t="s">
        <v>22</v>
      </c>
      <c r="G45" s="3" t="s">
        <v>129</v>
      </c>
      <c r="H45" s="3" t="s">
        <v>93</v>
      </c>
      <c r="I45" s="4">
        <v>2015.0</v>
      </c>
      <c r="J45" s="3">
        <v>2022.0</v>
      </c>
      <c r="K45" s="6">
        <v>43589.0</v>
      </c>
      <c r="L45" s="3">
        <v>19.0</v>
      </c>
      <c r="M45" s="3" t="s">
        <v>130</v>
      </c>
      <c r="N45" s="7">
        <v>43490.0</v>
      </c>
      <c r="O45" s="3">
        <v>0.0</v>
      </c>
      <c r="P45" s="9"/>
      <c r="Q45" s="9" t="s">
        <v>240</v>
      </c>
      <c r="R45" s="9" t="s">
        <v>241</v>
      </c>
      <c r="S45" s="3" t="s">
        <v>242</v>
      </c>
    </row>
    <row r="46">
      <c r="A46" s="3" t="s">
        <v>125</v>
      </c>
      <c r="B46" s="3">
        <v>2014.0</v>
      </c>
      <c r="C46" s="3" t="s">
        <v>243</v>
      </c>
      <c r="D46" s="3" t="s">
        <v>244</v>
      </c>
      <c r="E46" s="3" t="s">
        <v>128</v>
      </c>
      <c r="F46" s="3" t="s">
        <v>22</v>
      </c>
      <c r="G46" s="3" t="s">
        <v>129</v>
      </c>
      <c r="H46" s="3" t="s">
        <v>93</v>
      </c>
      <c r="I46" s="4">
        <v>2016.0</v>
      </c>
      <c r="J46" s="3">
        <v>2022.0</v>
      </c>
      <c r="K46" s="6">
        <v>43590.0</v>
      </c>
      <c r="L46" s="3">
        <v>16.3</v>
      </c>
      <c r="M46" s="3" t="s">
        <v>130</v>
      </c>
      <c r="N46" s="7">
        <v>43677.0</v>
      </c>
      <c r="O46" s="3">
        <v>0.0</v>
      </c>
      <c r="P46" s="9"/>
      <c r="Q46" s="9" t="s">
        <v>245</v>
      </c>
      <c r="R46" s="9" t="s">
        <v>246</v>
      </c>
      <c r="S46" s="3" t="s">
        <v>247</v>
      </c>
    </row>
    <row r="47">
      <c r="A47" s="3" t="s">
        <v>248</v>
      </c>
      <c r="B47" s="3">
        <v>2014.0</v>
      </c>
      <c r="C47" s="3" t="s">
        <v>249</v>
      </c>
      <c r="F47" s="3" t="s">
        <v>29</v>
      </c>
      <c r="G47" s="3" t="s">
        <v>129</v>
      </c>
      <c r="H47" s="3" t="s">
        <v>250</v>
      </c>
      <c r="I47" s="4">
        <v>2017.0</v>
      </c>
      <c r="J47" s="5">
        <v>2022.0</v>
      </c>
      <c r="K47" s="6">
        <v>43589.0</v>
      </c>
      <c r="L47" s="3">
        <v>13.0</v>
      </c>
      <c r="M47" s="3" t="s">
        <v>130</v>
      </c>
      <c r="N47" s="7">
        <v>43127.0</v>
      </c>
      <c r="O47" s="3">
        <v>1.0</v>
      </c>
      <c r="P47">
        <f>O47*L47</f>
        <v>13</v>
      </c>
      <c r="Q47" s="9" t="s">
        <v>251</v>
      </c>
      <c r="R47" s="9" t="s">
        <v>74</v>
      </c>
      <c r="S47" s="3" t="s">
        <v>252</v>
      </c>
    </row>
    <row r="48">
      <c r="A48" s="3" t="s">
        <v>253</v>
      </c>
      <c r="B48" s="3">
        <v>2014.0</v>
      </c>
      <c r="C48" s="3" t="s">
        <v>254</v>
      </c>
      <c r="D48" s="3" t="s">
        <v>255</v>
      </c>
      <c r="F48" s="3" t="s">
        <v>29</v>
      </c>
      <c r="G48" s="3" t="s">
        <v>129</v>
      </c>
      <c r="H48" s="3" t="s">
        <v>250</v>
      </c>
      <c r="I48" s="15">
        <v>2017.0</v>
      </c>
      <c r="J48" s="3">
        <v>2022.0</v>
      </c>
      <c r="K48" s="6">
        <v>43589.0</v>
      </c>
      <c r="M48" s="3" t="s">
        <v>99</v>
      </c>
      <c r="N48" s="7">
        <v>43209.0</v>
      </c>
      <c r="O48" s="3">
        <v>0.0</v>
      </c>
      <c r="P48" s="7"/>
      <c r="Q48" s="7">
        <v>43484.0</v>
      </c>
      <c r="R48" s="3">
        <v>2.5</v>
      </c>
      <c r="S48" s="3" t="s">
        <v>256</v>
      </c>
    </row>
    <row r="49">
      <c r="A49" s="3" t="s">
        <v>253</v>
      </c>
      <c r="B49" s="3">
        <v>2016.0</v>
      </c>
      <c r="C49" s="3" t="s">
        <v>257</v>
      </c>
      <c r="D49" s="3" t="s">
        <v>258</v>
      </c>
      <c r="F49" s="3" t="s">
        <v>22</v>
      </c>
      <c r="G49" s="3" t="s">
        <v>129</v>
      </c>
      <c r="H49" s="3" t="s">
        <v>93</v>
      </c>
      <c r="I49" s="4">
        <v>2018.0</v>
      </c>
      <c r="J49" s="3">
        <v>2022.0</v>
      </c>
      <c r="K49" s="6">
        <v>43589.0</v>
      </c>
      <c r="M49" s="3" t="s">
        <v>99</v>
      </c>
      <c r="N49" s="7">
        <v>43209.0</v>
      </c>
      <c r="O49" s="3">
        <v>0.0</v>
      </c>
      <c r="P49" s="7"/>
      <c r="Q49" s="7">
        <v>43576.0</v>
      </c>
      <c r="R49" s="3">
        <v>3.0</v>
      </c>
      <c r="S49" s="3" t="s">
        <v>259</v>
      </c>
    </row>
    <row r="50">
      <c r="A50" s="3" t="s">
        <v>260</v>
      </c>
      <c r="B50" s="3">
        <v>2017.0</v>
      </c>
      <c r="C50" s="3" t="s">
        <v>58</v>
      </c>
      <c r="D50" s="3" t="s">
        <v>83</v>
      </c>
      <c r="F50" s="3" t="s">
        <v>29</v>
      </c>
      <c r="G50" s="3" t="s">
        <v>44</v>
      </c>
      <c r="H50" s="3" t="s">
        <v>59</v>
      </c>
      <c r="I50" s="4">
        <v>2018.0</v>
      </c>
      <c r="J50" s="3">
        <v>2022.0</v>
      </c>
      <c r="K50" s="6">
        <v>43954.0</v>
      </c>
      <c r="M50" s="3" t="s">
        <v>261</v>
      </c>
      <c r="N50" s="10">
        <v>43825.0</v>
      </c>
      <c r="O50" s="3">
        <v>0.0</v>
      </c>
      <c r="P50" s="10"/>
      <c r="Q50" s="10">
        <v>44158.0</v>
      </c>
      <c r="R50" s="3">
        <v>3.5</v>
      </c>
      <c r="S50" s="3" t="s">
        <v>262</v>
      </c>
    </row>
    <row r="51">
      <c r="A51" s="3" t="s">
        <v>263</v>
      </c>
      <c r="B51" s="3">
        <v>2015.0</v>
      </c>
      <c r="C51" s="3" t="s">
        <v>264</v>
      </c>
      <c r="D51" s="3" t="s">
        <v>265</v>
      </c>
      <c r="F51" s="3" t="s">
        <v>29</v>
      </c>
      <c r="G51" s="3" t="s">
        <v>154</v>
      </c>
      <c r="H51" s="3" t="s">
        <v>266</v>
      </c>
      <c r="I51" s="4">
        <v>2018.0</v>
      </c>
      <c r="J51" s="3">
        <v>2022.0</v>
      </c>
      <c r="K51" s="6">
        <v>43590.0</v>
      </c>
      <c r="M51" s="3" t="s">
        <v>94</v>
      </c>
      <c r="N51" s="10">
        <v>43100.0</v>
      </c>
      <c r="O51" s="3">
        <v>0.0</v>
      </c>
      <c r="P51" s="12"/>
      <c r="Q51" s="12">
        <v>43838.0</v>
      </c>
      <c r="R51" s="9">
        <v>3.0</v>
      </c>
      <c r="S51" s="3" t="s">
        <v>267</v>
      </c>
    </row>
    <row r="52">
      <c r="A52" s="3" t="s">
        <v>268</v>
      </c>
      <c r="B52" s="3">
        <v>2017.0</v>
      </c>
      <c r="C52" s="3" t="s">
        <v>269</v>
      </c>
      <c r="D52" s="3" t="s">
        <v>83</v>
      </c>
      <c r="F52" s="3" t="s">
        <v>29</v>
      </c>
      <c r="G52" s="3" t="s">
        <v>154</v>
      </c>
      <c r="H52" s="3" t="s">
        <v>155</v>
      </c>
      <c r="I52" s="4">
        <v>2018.0</v>
      </c>
      <c r="J52" s="3">
        <v>2022.0</v>
      </c>
      <c r="K52" s="6">
        <v>43955.0</v>
      </c>
      <c r="L52" s="3">
        <v>13.9</v>
      </c>
      <c r="M52" s="3" t="s">
        <v>270</v>
      </c>
      <c r="N52" s="7">
        <v>43846.0</v>
      </c>
      <c r="O52" s="3">
        <v>0.0</v>
      </c>
      <c r="P52" s="9"/>
      <c r="Q52" s="9" t="s">
        <v>271</v>
      </c>
      <c r="R52" s="9" t="s">
        <v>272</v>
      </c>
      <c r="S52" s="3" t="s">
        <v>273</v>
      </c>
    </row>
    <row r="53">
      <c r="A53" s="3" t="s">
        <v>192</v>
      </c>
      <c r="B53" s="3">
        <v>2018.0</v>
      </c>
      <c r="C53" s="3" t="s">
        <v>193</v>
      </c>
      <c r="F53" s="3" t="s">
        <v>204</v>
      </c>
      <c r="G53" s="3" t="s">
        <v>163</v>
      </c>
      <c r="H53" s="3" t="s">
        <v>274</v>
      </c>
      <c r="I53" s="4">
        <v>2019.0</v>
      </c>
      <c r="J53" s="3">
        <v>2022.0</v>
      </c>
      <c r="L53" s="3">
        <v>5.0</v>
      </c>
      <c r="M53" s="3" t="s">
        <v>99</v>
      </c>
      <c r="N53" s="7">
        <v>43617.0</v>
      </c>
      <c r="O53" s="3">
        <v>0.0</v>
      </c>
      <c r="P53" s="9"/>
      <c r="Q53" s="9" t="s">
        <v>275</v>
      </c>
      <c r="R53" s="9" t="s">
        <v>276</v>
      </c>
      <c r="S53" s="3" t="s">
        <v>277</v>
      </c>
    </row>
    <row r="54">
      <c r="A54" s="3" t="s">
        <v>278</v>
      </c>
      <c r="B54" s="3">
        <v>2017.0</v>
      </c>
      <c r="C54" s="3" t="s">
        <v>279</v>
      </c>
      <c r="D54" s="3" t="s">
        <v>280</v>
      </c>
      <c r="F54" s="3" t="s">
        <v>29</v>
      </c>
      <c r="G54" s="3" t="s">
        <v>154</v>
      </c>
      <c r="H54" s="3" t="s">
        <v>155</v>
      </c>
      <c r="I54" s="4">
        <v>2019.0</v>
      </c>
      <c r="J54" s="14">
        <v>2022.0</v>
      </c>
      <c r="K54" s="6">
        <v>43589.0</v>
      </c>
      <c r="M54" s="3" t="s">
        <v>94</v>
      </c>
      <c r="N54" s="10">
        <v>43750.0</v>
      </c>
      <c r="O54" s="3">
        <v>0.0</v>
      </c>
      <c r="P54" s="12"/>
      <c r="Q54" s="12">
        <v>44841.0</v>
      </c>
      <c r="R54" s="9">
        <v>3.5</v>
      </c>
      <c r="S54" s="3" t="s">
        <v>281</v>
      </c>
    </row>
    <row r="55">
      <c r="A55" s="3" t="s">
        <v>282</v>
      </c>
      <c r="B55" s="3">
        <v>2017.0</v>
      </c>
      <c r="C55" s="3" t="s">
        <v>213</v>
      </c>
      <c r="F55" s="3" t="s">
        <v>22</v>
      </c>
      <c r="G55" s="3" t="s">
        <v>71</v>
      </c>
      <c r="H55" s="3" t="s">
        <v>283</v>
      </c>
      <c r="I55" s="4">
        <v>2019.0</v>
      </c>
      <c r="J55" s="5">
        <v>2022.0</v>
      </c>
      <c r="K55" s="6">
        <v>43588.0</v>
      </c>
      <c r="M55" s="3" t="s">
        <v>215</v>
      </c>
      <c r="N55" s="7">
        <v>43344.0</v>
      </c>
      <c r="O55" s="3">
        <v>0.0</v>
      </c>
      <c r="P55">
        <f>O55*L55</f>
        <v>0</v>
      </c>
      <c r="Q55" s="12">
        <v>45744.0</v>
      </c>
      <c r="R55" s="13"/>
      <c r="S55" s="3" t="s">
        <v>216</v>
      </c>
    </row>
    <row r="56">
      <c r="A56" s="3" t="s">
        <v>284</v>
      </c>
      <c r="B56" s="3">
        <v>2017.0</v>
      </c>
      <c r="C56" s="3" t="s">
        <v>285</v>
      </c>
      <c r="D56" s="3" t="s">
        <v>286</v>
      </c>
      <c r="F56" s="3" t="s">
        <v>29</v>
      </c>
      <c r="G56" s="3" t="s">
        <v>71</v>
      </c>
      <c r="H56" s="3" t="s">
        <v>287</v>
      </c>
      <c r="I56" s="4">
        <v>2019.0</v>
      </c>
      <c r="J56" s="5">
        <v>2022.0</v>
      </c>
      <c r="K56" s="6">
        <v>44319.0</v>
      </c>
      <c r="L56" s="3">
        <v>10.8</v>
      </c>
      <c r="M56" s="3" t="s">
        <v>288</v>
      </c>
      <c r="N56" s="7">
        <v>44321.0</v>
      </c>
      <c r="O56" s="3">
        <v>0.0</v>
      </c>
      <c r="P56" s="9"/>
      <c r="Q56" s="9" t="s">
        <v>289</v>
      </c>
      <c r="R56" s="9" t="s">
        <v>107</v>
      </c>
      <c r="S56" s="3" t="s">
        <v>290</v>
      </c>
    </row>
    <row r="57">
      <c r="A57" s="3" t="s">
        <v>291</v>
      </c>
      <c r="B57" s="3">
        <v>2017.0</v>
      </c>
      <c r="C57" s="3" t="s">
        <v>292</v>
      </c>
      <c r="F57" s="3" t="s">
        <v>22</v>
      </c>
      <c r="G57" s="3" t="s">
        <v>163</v>
      </c>
      <c r="H57" s="3" t="s">
        <v>293</v>
      </c>
      <c r="I57" s="4">
        <v>2019.0</v>
      </c>
      <c r="J57" s="3">
        <v>2022.0</v>
      </c>
      <c r="K57" s="6">
        <v>43589.0</v>
      </c>
      <c r="L57" s="3">
        <v>8.5</v>
      </c>
      <c r="M57" s="3" t="s">
        <v>94</v>
      </c>
      <c r="N57" s="7">
        <v>43505.0</v>
      </c>
      <c r="O57" s="3">
        <v>0.0</v>
      </c>
      <c r="P57" s="9"/>
      <c r="Q57" s="9" t="s">
        <v>294</v>
      </c>
      <c r="R57" s="9" t="s">
        <v>295</v>
      </c>
      <c r="S57" s="3" t="s">
        <v>296</v>
      </c>
    </row>
    <row r="58">
      <c r="A58" s="3" t="s">
        <v>291</v>
      </c>
      <c r="B58" s="3">
        <v>2017.0</v>
      </c>
      <c r="C58" s="3" t="s">
        <v>297</v>
      </c>
      <c r="F58" s="3" t="s">
        <v>22</v>
      </c>
      <c r="G58" s="3" t="s">
        <v>163</v>
      </c>
      <c r="H58" s="3" t="s">
        <v>298</v>
      </c>
      <c r="I58" s="4">
        <v>2019.0</v>
      </c>
      <c r="J58" s="3">
        <v>2022.0</v>
      </c>
      <c r="K58" s="6">
        <v>43589.0</v>
      </c>
      <c r="L58" s="3">
        <v>9.5</v>
      </c>
      <c r="M58" s="3" t="s">
        <v>94</v>
      </c>
      <c r="N58" s="7">
        <v>43505.0</v>
      </c>
      <c r="O58" s="3">
        <v>0.0</v>
      </c>
      <c r="P58" s="7"/>
      <c r="Q58" s="7">
        <v>43512.0</v>
      </c>
      <c r="R58" s="3">
        <v>3.0</v>
      </c>
      <c r="S58" s="3" t="s">
        <v>299</v>
      </c>
    </row>
    <row r="59">
      <c r="A59" s="3" t="s">
        <v>201</v>
      </c>
      <c r="B59" s="3">
        <v>2017.0</v>
      </c>
      <c r="C59" s="3" t="s">
        <v>202</v>
      </c>
      <c r="D59" s="3" t="s">
        <v>300</v>
      </c>
      <c r="F59" s="3" t="s">
        <v>29</v>
      </c>
      <c r="G59" s="3" t="s">
        <v>71</v>
      </c>
      <c r="H59" s="3" t="s">
        <v>205</v>
      </c>
      <c r="I59" s="4">
        <v>2019.0</v>
      </c>
      <c r="J59" s="3">
        <v>2022.0</v>
      </c>
      <c r="K59" s="6">
        <v>43954.0</v>
      </c>
      <c r="L59" s="3">
        <v>8.0</v>
      </c>
      <c r="M59" s="3" t="s">
        <v>55</v>
      </c>
      <c r="N59" s="7">
        <v>43975.0</v>
      </c>
      <c r="O59" s="3">
        <v>0.0</v>
      </c>
      <c r="P59" s="10"/>
      <c r="Q59" s="10">
        <v>44155.0</v>
      </c>
      <c r="R59" s="3">
        <v>3.0</v>
      </c>
      <c r="S59" s="3" t="s">
        <v>301</v>
      </c>
    </row>
    <row r="60">
      <c r="A60" s="3" t="s">
        <v>302</v>
      </c>
      <c r="B60" s="3">
        <v>2017.0</v>
      </c>
      <c r="C60" s="3" t="s">
        <v>303</v>
      </c>
      <c r="F60" s="3" t="s">
        <v>29</v>
      </c>
      <c r="G60" s="3" t="s">
        <v>154</v>
      </c>
      <c r="H60" s="3" t="s">
        <v>234</v>
      </c>
      <c r="I60" s="4">
        <v>2019.0</v>
      </c>
      <c r="J60" s="5">
        <v>2022.0</v>
      </c>
      <c r="K60" s="6">
        <v>43955.0</v>
      </c>
      <c r="L60" s="3">
        <v>9.9</v>
      </c>
      <c r="M60" s="3" t="s">
        <v>270</v>
      </c>
      <c r="N60" s="7">
        <v>43970.0</v>
      </c>
      <c r="O60" s="3">
        <v>0.0</v>
      </c>
      <c r="P60">
        <f>O60*L60</f>
        <v>0</v>
      </c>
      <c r="Q60" s="9" t="s">
        <v>304</v>
      </c>
      <c r="R60" s="9" t="s">
        <v>305</v>
      </c>
      <c r="S60" s="3" t="s">
        <v>306</v>
      </c>
    </row>
    <row r="61">
      <c r="A61" s="3" t="s">
        <v>307</v>
      </c>
      <c r="B61" s="3">
        <v>2017.0</v>
      </c>
      <c r="C61" s="3" t="s">
        <v>129</v>
      </c>
      <c r="D61" s="3" t="s">
        <v>308</v>
      </c>
      <c r="F61" s="3" t="s">
        <v>22</v>
      </c>
      <c r="G61" s="3" t="s">
        <v>129</v>
      </c>
      <c r="H61" s="3" t="s">
        <v>93</v>
      </c>
      <c r="I61" s="4">
        <v>2019.0</v>
      </c>
      <c r="J61" s="3">
        <v>2022.0</v>
      </c>
      <c r="K61" s="6">
        <v>43589.0</v>
      </c>
      <c r="N61" s="10">
        <v>43750.0</v>
      </c>
      <c r="O61" s="3">
        <v>0.0</v>
      </c>
      <c r="P61" s="10"/>
      <c r="Q61" s="10">
        <v>43762.0</v>
      </c>
      <c r="R61" s="3">
        <v>3.0</v>
      </c>
      <c r="S61" s="3" t="s">
        <v>309</v>
      </c>
    </row>
    <row r="62">
      <c r="A62" s="3" t="s">
        <v>310</v>
      </c>
      <c r="B62" s="3">
        <v>2017.0</v>
      </c>
      <c r="C62" s="3" t="s">
        <v>311</v>
      </c>
      <c r="F62" s="3" t="s">
        <v>22</v>
      </c>
      <c r="G62" s="3" t="s">
        <v>129</v>
      </c>
      <c r="H62" s="3" t="s">
        <v>93</v>
      </c>
      <c r="I62" s="4">
        <v>2019.0</v>
      </c>
      <c r="J62" s="5">
        <v>2022.0</v>
      </c>
      <c r="K62" s="6">
        <v>44320.0</v>
      </c>
      <c r="L62" s="3">
        <v>16.65</v>
      </c>
      <c r="M62" s="3" t="s">
        <v>165</v>
      </c>
      <c r="N62" s="7">
        <v>44306.0</v>
      </c>
      <c r="O62" s="3">
        <v>0.0</v>
      </c>
      <c r="P62" s="9"/>
      <c r="Q62" s="9" t="s">
        <v>312</v>
      </c>
      <c r="R62" s="9" t="s">
        <v>313</v>
      </c>
      <c r="S62" s="3" t="s">
        <v>314</v>
      </c>
    </row>
    <row r="63">
      <c r="A63" s="3" t="s">
        <v>315</v>
      </c>
      <c r="B63" s="3">
        <v>2017.0</v>
      </c>
      <c r="C63" s="3" t="s">
        <v>316</v>
      </c>
      <c r="D63" s="3" t="s">
        <v>317</v>
      </c>
      <c r="F63" s="3" t="s">
        <v>29</v>
      </c>
      <c r="G63" s="3" t="s">
        <v>84</v>
      </c>
      <c r="H63" s="3" t="s">
        <v>318</v>
      </c>
      <c r="I63" s="4">
        <v>2019.0</v>
      </c>
      <c r="J63" s="5">
        <v>2022.0</v>
      </c>
      <c r="K63" s="6">
        <v>45051.0</v>
      </c>
      <c r="L63" s="3">
        <v>18.0</v>
      </c>
      <c r="M63" s="3" t="s">
        <v>319</v>
      </c>
      <c r="N63" s="7">
        <v>44977.0</v>
      </c>
      <c r="O63" s="3">
        <v>4.0</v>
      </c>
      <c r="P63">
        <f t="shared" ref="P63:P64" si="5">O63*L63</f>
        <v>72</v>
      </c>
      <c r="Q63" s="9" t="s">
        <v>320</v>
      </c>
      <c r="R63" s="9" t="s">
        <v>142</v>
      </c>
      <c r="S63" s="3" t="s">
        <v>321</v>
      </c>
    </row>
    <row r="64">
      <c r="A64" s="3" t="s">
        <v>322</v>
      </c>
      <c r="B64" s="3">
        <v>2017.0</v>
      </c>
      <c r="C64" s="3" t="s">
        <v>323</v>
      </c>
      <c r="D64" s="3" t="s">
        <v>324</v>
      </c>
      <c r="F64" s="3" t="s">
        <v>29</v>
      </c>
      <c r="G64" s="3" t="s">
        <v>84</v>
      </c>
      <c r="H64" s="3" t="s">
        <v>323</v>
      </c>
      <c r="I64" s="4">
        <v>2019.0</v>
      </c>
      <c r="J64" s="5">
        <v>2022.0</v>
      </c>
      <c r="L64" s="3">
        <v>20.0</v>
      </c>
      <c r="M64" s="3" t="s">
        <v>118</v>
      </c>
      <c r="N64" s="7">
        <v>45739.0</v>
      </c>
      <c r="O64" s="3">
        <v>1.0</v>
      </c>
      <c r="P64">
        <f t="shared" si="5"/>
        <v>20</v>
      </c>
    </row>
    <row r="65">
      <c r="A65" s="3" t="s">
        <v>325</v>
      </c>
      <c r="B65" s="3">
        <v>2017.0</v>
      </c>
      <c r="C65" s="3" t="s">
        <v>161</v>
      </c>
      <c r="F65" s="3" t="s">
        <v>22</v>
      </c>
      <c r="G65" s="3" t="s">
        <v>163</v>
      </c>
      <c r="H65" s="3" t="s">
        <v>164</v>
      </c>
      <c r="I65" s="4">
        <v>2019.0</v>
      </c>
      <c r="J65" s="3">
        <v>2022.0</v>
      </c>
      <c r="K65" s="6">
        <v>43589.0</v>
      </c>
      <c r="L65" s="3">
        <v>12.0</v>
      </c>
      <c r="M65" s="3" t="s">
        <v>118</v>
      </c>
      <c r="N65" s="7">
        <v>43436.0</v>
      </c>
      <c r="O65" s="3">
        <v>0.0</v>
      </c>
      <c r="P65" s="9"/>
      <c r="Q65" s="9" t="s">
        <v>326</v>
      </c>
      <c r="R65" s="9" t="s">
        <v>142</v>
      </c>
      <c r="S65" s="3" t="s">
        <v>327</v>
      </c>
    </row>
    <row r="66">
      <c r="A66" s="3" t="s">
        <v>328</v>
      </c>
      <c r="B66" s="3">
        <v>2017.0</v>
      </c>
      <c r="C66" s="3" t="s">
        <v>329</v>
      </c>
      <c r="D66" s="3" t="s">
        <v>146</v>
      </c>
      <c r="F66" s="3" t="s">
        <v>29</v>
      </c>
      <c r="G66" s="3" t="s">
        <v>330</v>
      </c>
      <c r="H66" s="3" t="s">
        <v>331</v>
      </c>
      <c r="I66" s="4">
        <v>2019.0</v>
      </c>
      <c r="J66" s="3">
        <v>2022.0</v>
      </c>
      <c r="K66" s="6">
        <v>43955.0</v>
      </c>
      <c r="L66" s="3">
        <v>9.9</v>
      </c>
      <c r="M66" s="3" t="s">
        <v>270</v>
      </c>
      <c r="N66" s="7">
        <v>43947.0</v>
      </c>
      <c r="O66" s="3">
        <v>0.0</v>
      </c>
      <c r="P66" s="9"/>
      <c r="Q66" s="9" t="s">
        <v>332</v>
      </c>
      <c r="R66" s="9" t="s">
        <v>333</v>
      </c>
      <c r="S66" s="3" t="s">
        <v>334</v>
      </c>
    </row>
    <row r="67">
      <c r="A67" s="3" t="s">
        <v>335</v>
      </c>
      <c r="B67" s="3">
        <v>2018.0</v>
      </c>
      <c r="C67" s="3" t="s">
        <v>336</v>
      </c>
      <c r="D67" s="3" t="s">
        <v>337</v>
      </c>
      <c r="F67" s="3" t="s">
        <v>22</v>
      </c>
      <c r="G67" s="3" t="s">
        <v>338</v>
      </c>
      <c r="H67" s="3" t="s">
        <v>339</v>
      </c>
      <c r="I67" s="4">
        <v>2019.0</v>
      </c>
      <c r="J67" s="3">
        <v>2022.0</v>
      </c>
      <c r="L67" s="3">
        <v>17.0</v>
      </c>
      <c r="M67" s="3" t="s">
        <v>340</v>
      </c>
      <c r="N67" s="7">
        <v>43709.0</v>
      </c>
      <c r="O67" s="3">
        <v>0.0</v>
      </c>
      <c r="P67" s="12"/>
      <c r="Q67" s="12">
        <v>43855.0</v>
      </c>
      <c r="R67" s="9">
        <v>3.5</v>
      </c>
      <c r="S67" s="3" t="s">
        <v>341</v>
      </c>
    </row>
    <row r="68">
      <c r="A68" s="3" t="s">
        <v>96</v>
      </c>
      <c r="B68" s="3">
        <v>2020.0</v>
      </c>
      <c r="C68" s="3" t="s">
        <v>97</v>
      </c>
      <c r="D68" s="3" t="s">
        <v>342</v>
      </c>
      <c r="F68" s="3" t="s">
        <v>29</v>
      </c>
      <c r="G68" s="3" t="s">
        <v>71</v>
      </c>
      <c r="I68" s="4">
        <v>2021.0</v>
      </c>
      <c r="J68" s="5">
        <v>2022.0</v>
      </c>
      <c r="K68" s="6">
        <v>45782.0</v>
      </c>
      <c r="L68" s="3">
        <v>13.5</v>
      </c>
      <c r="M68" s="3" t="s">
        <v>99</v>
      </c>
      <c r="N68" s="7">
        <v>45704.0</v>
      </c>
      <c r="O68" s="3">
        <v>1.0</v>
      </c>
      <c r="P68">
        <f t="shared" ref="P68:P69" si="6">O68*L68</f>
        <v>13.5</v>
      </c>
    </row>
    <row r="69">
      <c r="A69" s="3" t="s">
        <v>237</v>
      </c>
      <c r="B69" s="3">
        <v>2013.0</v>
      </c>
      <c r="C69" s="3" t="s">
        <v>238</v>
      </c>
      <c r="D69" s="3" t="s">
        <v>239</v>
      </c>
      <c r="E69" s="3" t="s">
        <v>128</v>
      </c>
      <c r="F69" s="3" t="s">
        <v>22</v>
      </c>
      <c r="G69" s="3" t="s">
        <v>129</v>
      </c>
      <c r="H69" s="3" t="s">
        <v>93</v>
      </c>
      <c r="I69" s="4">
        <v>2016.0</v>
      </c>
      <c r="J69" s="5">
        <v>2023.0</v>
      </c>
      <c r="K69" s="6">
        <v>43588.0</v>
      </c>
      <c r="L69" s="3">
        <v>19.9</v>
      </c>
      <c r="M69" s="3" t="s">
        <v>130</v>
      </c>
      <c r="N69" s="7">
        <v>43677.0</v>
      </c>
      <c r="O69" s="3">
        <v>0.0</v>
      </c>
      <c r="P69">
        <f t="shared" si="6"/>
        <v>0</v>
      </c>
      <c r="Q69" s="9" t="s">
        <v>343</v>
      </c>
      <c r="R69" s="9" t="s">
        <v>241</v>
      </c>
      <c r="S69" s="3" t="s">
        <v>344</v>
      </c>
    </row>
    <row r="70">
      <c r="A70" s="3" t="s">
        <v>345</v>
      </c>
      <c r="B70" s="3">
        <v>2015.0</v>
      </c>
      <c r="C70" s="3" t="s">
        <v>243</v>
      </c>
      <c r="D70" s="3" t="s">
        <v>346</v>
      </c>
      <c r="F70" s="3" t="s">
        <v>22</v>
      </c>
      <c r="G70" s="3" t="s">
        <v>129</v>
      </c>
      <c r="H70" s="3" t="s">
        <v>93</v>
      </c>
      <c r="I70" s="4">
        <v>2017.0</v>
      </c>
      <c r="J70" s="3">
        <v>2023.0</v>
      </c>
      <c r="K70" s="6">
        <v>43589.0</v>
      </c>
      <c r="L70" s="3">
        <v>15.0</v>
      </c>
      <c r="M70" s="3" t="s">
        <v>118</v>
      </c>
      <c r="N70" s="7">
        <v>43548.0</v>
      </c>
      <c r="O70" s="3">
        <v>0.0</v>
      </c>
      <c r="P70" s="9"/>
      <c r="Q70" s="9" t="s">
        <v>347</v>
      </c>
      <c r="R70" s="9" t="s">
        <v>142</v>
      </c>
      <c r="S70" s="3" t="s">
        <v>348</v>
      </c>
    </row>
    <row r="71">
      <c r="A71" s="3" t="s">
        <v>349</v>
      </c>
      <c r="B71" s="3">
        <v>2016.0</v>
      </c>
      <c r="C71" s="3" t="s">
        <v>350</v>
      </c>
      <c r="D71" s="3" t="s">
        <v>351</v>
      </c>
      <c r="E71" s="3" t="s">
        <v>146</v>
      </c>
      <c r="F71" s="3" t="s">
        <v>29</v>
      </c>
      <c r="G71" s="3" t="s">
        <v>352</v>
      </c>
      <c r="H71" s="3" t="s">
        <v>353</v>
      </c>
      <c r="I71" s="4">
        <v>2018.0</v>
      </c>
      <c r="J71" s="3">
        <v>2023.0</v>
      </c>
      <c r="K71" s="6">
        <v>43588.0</v>
      </c>
      <c r="L71" s="3">
        <v>9.95</v>
      </c>
      <c r="M71" s="3" t="s">
        <v>147</v>
      </c>
      <c r="N71" s="7">
        <v>43112.0</v>
      </c>
      <c r="O71" s="3">
        <v>0.0</v>
      </c>
      <c r="P71" s="9"/>
      <c r="Q71" s="9" t="s">
        <v>354</v>
      </c>
      <c r="R71" s="9" t="s">
        <v>74</v>
      </c>
      <c r="S71" s="3" t="s">
        <v>355</v>
      </c>
    </row>
    <row r="72">
      <c r="A72" s="3" t="s">
        <v>356</v>
      </c>
      <c r="B72" s="3">
        <v>2017.0</v>
      </c>
      <c r="C72" s="3" t="s">
        <v>357</v>
      </c>
      <c r="D72" s="3" t="s">
        <v>358</v>
      </c>
      <c r="E72" s="3" t="s">
        <v>359</v>
      </c>
      <c r="F72" s="3" t="s">
        <v>29</v>
      </c>
      <c r="G72" s="3" t="s">
        <v>330</v>
      </c>
      <c r="H72" s="3" t="s">
        <v>331</v>
      </c>
      <c r="I72" s="4">
        <v>2018.0</v>
      </c>
      <c r="J72" s="3">
        <v>2023.0</v>
      </c>
      <c r="K72" s="6">
        <v>43955.0</v>
      </c>
      <c r="L72" s="3">
        <v>9.9</v>
      </c>
      <c r="M72" s="3" t="s">
        <v>270</v>
      </c>
      <c r="N72" s="7">
        <v>43925.0</v>
      </c>
      <c r="O72" s="3">
        <v>0.0</v>
      </c>
      <c r="P72" s="9"/>
      <c r="Q72" s="9" t="s">
        <v>360</v>
      </c>
      <c r="R72" s="9" t="s">
        <v>361</v>
      </c>
      <c r="S72" s="3" t="s">
        <v>362</v>
      </c>
    </row>
    <row r="73">
      <c r="A73" s="3" t="s">
        <v>363</v>
      </c>
      <c r="B73" s="3">
        <v>2018.0</v>
      </c>
      <c r="C73" s="3" t="s">
        <v>44</v>
      </c>
      <c r="D73" s="3" t="s">
        <v>364</v>
      </c>
      <c r="F73" s="3" t="s">
        <v>40</v>
      </c>
      <c r="G73" s="3" t="s">
        <v>44</v>
      </c>
      <c r="I73" s="4">
        <v>2019.0</v>
      </c>
      <c r="J73" s="14">
        <v>2023.0</v>
      </c>
      <c r="K73" s="6">
        <v>43954.0</v>
      </c>
      <c r="M73" s="3" t="s">
        <v>261</v>
      </c>
      <c r="N73" s="10">
        <v>43825.0</v>
      </c>
      <c r="O73" s="3">
        <v>0.0</v>
      </c>
      <c r="P73" s="7"/>
      <c r="Q73" s="7">
        <v>45262.0</v>
      </c>
      <c r="S73" s="3" t="s">
        <v>365</v>
      </c>
    </row>
    <row r="74">
      <c r="A74" s="3" t="s">
        <v>366</v>
      </c>
      <c r="B74" s="3">
        <v>2018.0</v>
      </c>
      <c r="C74" s="3" t="s">
        <v>367</v>
      </c>
      <c r="D74" s="3" t="s">
        <v>368</v>
      </c>
      <c r="F74" s="3" t="s">
        <v>22</v>
      </c>
      <c r="G74" s="3" t="s">
        <v>129</v>
      </c>
      <c r="H74" s="3" t="s">
        <v>93</v>
      </c>
      <c r="I74" s="4">
        <v>2019.0</v>
      </c>
      <c r="J74" s="3">
        <v>2023.0</v>
      </c>
      <c r="K74" s="6">
        <v>44320.0</v>
      </c>
      <c r="L74" s="3">
        <v>9.9</v>
      </c>
      <c r="M74" s="3" t="s">
        <v>184</v>
      </c>
      <c r="N74" s="7">
        <v>44345.0</v>
      </c>
      <c r="O74" s="3">
        <v>0.0</v>
      </c>
      <c r="P74" s="9"/>
      <c r="Q74" s="9" t="s">
        <v>369</v>
      </c>
      <c r="R74" s="9" t="s">
        <v>370</v>
      </c>
      <c r="S74" s="3" t="s">
        <v>371</v>
      </c>
    </row>
    <row r="75">
      <c r="A75" s="3" t="s">
        <v>372</v>
      </c>
      <c r="B75" s="3">
        <v>2017.0</v>
      </c>
      <c r="C75" s="3" t="s">
        <v>373</v>
      </c>
      <c r="D75" s="3" t="s">
        <v>374</v>
      </c>
      <c r="F75" s="3" t="s">
        <v>29</v>
      </c>
      <c r="G75" s="3" t="s">
        <v>163</v>
      </c>
      <c r="H75" s="3" t="s">
        <v>250</v>
      </c>
      <c r="I75" s="4">
        <v>2019.0</v>
      </c>
      <c r="J75" s="14">
        <v>2023.0</v>
      </c>
      <c r="K75" s="6">
        <v>43955.0</v>
      </c>
      <c r="L75" s="3">
        <v>15.0</v>
      </c>
      <c r="M75" s="3" t="s">
        <v>55</v>
      </c>
      <c r="N75" s="10">
        <v>44156.0</v>
      </c>
      <c r="O75" s="3">
        <v>0.0</v>
      </c>
      <c r="P75" s="7"/>
      <c r="Q75" s="7">
        <v>45022.0</v>
      </c>
      <c r="R75" s="3">
        <v>3.5</v>
      </c>
      <c r="S75" s="3" t="s">
        <v>375</v>
      </c>
    </row>
    <row r="76">
      <c r="A76" s="3" t="s">
        <v>376</v>
      </c>
      <c r="B76" s="3">
        <v>2017.0</v>
      </c>
      <c r="C76" s="3" t="s">
        <v>377</v>
      </c>
      <c r="F76" s="3" t="s">
        <v>29</v>
      </c>
      <c r="G76" s="3" t="s">
        <v>330</v>
      </c>
      <c r="H76" s="3" t="s">
        <v>331</v>
      </c>
      <c r="I76" s="4">
        <v>2019.0</v>
      </c>
      <c r="J76" s="5">
        <v>2023.0</v>
      </c>
      <c r="K76" s="6">
        <v>43955.0</v>
      </c>
      <c r="L76" s="3">
        <v>14.9</v>
      </c>
      <c r="M76" s="3" t="s">
        <v>270</v>
      </c>
      <c r="N76" s="7">
        <v>43925.0</v>
      </c>
      <c r="O76" s="3">
        <v>0.0</v>
      </c>
      <c r="P76">
        <f t="shared" ref="P76:P78" si="7">O76*L76</f>
        <v>0</v>
      </c>
      <c r="Q76" s="9" t="s">
        <v>378</v>
      </c>
      <c r="R76" s="9" t="s">
        <v>379</v>
      </c>
      <c r="S76" s="3" t="s">
        <v>380</v>
      </c>
    </row>
    <row r="77">
      <c r="A77" s="3" t="s">
        <v>381</v>
      </c>
      <c r="B77" s="3">
        <v>2018.0</v>
      </c>
      <c r="C77" s="3" t="s">
        <v>382</v>
      </c>
      <c r="E77" s="3" t="s">
        <v>383</v>
      </c>
      <c r="F77" s="3" t="s">
        <v>40</v>
      </c>
      <c r="G77" s="3" t="s">
        <v>23</v>
      </c>
      <c r="H77" s="3" t="s">
        <v>384</v>
      </c>
      <c r="I77" s="4">
        <v>2019.0</v>
      </c>
      <c r="J77" s="5">
        <v>2023.0</v>
      </c>
      <c r="K77" s="6">
        <v>43955.0</v>
      </c>
      <c r="L77" s="3">
        <v>9.5</v>
      </c>
      <c r="M77" s="3" t="s">
        <v>55</v>
      </c>
      <c r="N77" s="7">
        <v>43876.0</v>
      </c>
      <c r="O77" s="3">
        <v>1.0</v>
      </c>
      <c r="P77">
        <f t="shared" si="7"/>
        <v>9.5</v>
      </c>
    </row>
    <row r="78">
      <c r="A78" s="3" t="s">
        <v>381</v>
      </c>
      <c r="B78" s="3">
        <v>2018.0</v>
      </c>
      <c r="C78" s="3" t="s">
        <v>382</v>
      </c>
      <c r="E78" s="3" t="s">
        <v>385</v>
      </c>
      <c r="F78" s="3" t="s">
        <v>40</v>
      </c>
      <c r="G78" s="3" t="s">
        <v>23</v>
      </c>
      <c r="H78" s="3" t="s">
        <v>384</v>
      </c>
      <c r="I78" s="4">
        <v>2019.0</v>
      </c>
      <c r="J78" s="5">
        <v>2023.0</v>
      </c>
      <c r="K78" s="6">
        <v>43955.0</v>
      </c>
      <c r="L78" s="3">
        <v>17.0</v>
      </c>
      <c r="M78" s="3" t="s">
        <v>55</v>
      </c>
      <c r="N78" s="7">
        <v>43876.0</v>
      </c>
      <c r="O78" s="3">
        <v>1.0</v>
      </c>
      <c r="P78">
        <f t="shared" si="7"/>
        <v>17</v>
      </c>
    </row>
    <row r="79">
      <c r="A79" s="3" t="s">
        <v>386</v>
      </c>
      <c r="B79" s="3">
        <v>2017.0</v>
      </c>
      <c r="C79" s="3" t="s">
        <v>126</v>
      </c>
      <c r="D79" s="3" t="s">
        <v>387</v>
      </c>
      <c r="E79" s="3" t="s">
        <v>128</v>
      </c>
      <c r="F79" s="3" t="s">
        <v>22</v>
      </c>
      <c r="G79" s="3" t="s">
        <v>129</v>
      </c>
      <c r="H79" s="3" t="s">
        <v>93</v>
      </c>
      <c r="I79" s="4">
        <v>2019.0</v>
      </c>
      <c r="J79" s="3">
        <v>2023.0</v>
      </c>
      <c r="K79" s="6">
        <v>43589.0</v>
      </c>
      <c r="N79" s="10">
        <v>43750.0</v>
      </c>
      <c r="O79" s="3">
        <v>0.0</v>
      </c>
      <c r="P79" s="12"/>
      <c r="Q79" s="12">
        <v>43855.0</v>
      </c>
      <c r="R79" s="9">
        <v>4.0</v>
      </c>
      <c r="S79" s="3" t="s">
        <v>388</v>
      </c>
    </row>
    <row r="80">
      <c r="A80" s="3" t="s">
        <v>389</v>
      </c>
      <c r="B80" s="3">
        <v>2018.0</v>
      </c>
      <c r="C80" s="3" t="s">
        <v>390</v>
      </c>
      <c r="F80" s="3" t="s">
        <v>29</v>
      </c>
      <c r="G80" s="3" t="s">
        <v>330</v>
      </c>
      <c r="H80" s="3" t="s">
        <v>331</v>
      </c>
      <c r="I80" s="4">
        <v>2020.0</v>
      </c>
      <c r="J80" s="3">
        <v>2023.0</v>
      </c>
      <c r="K80" s="6">
        <v>43956.0</v>
      </c>
      <c r="L80" s="3">
        <v>14.9</v>
      </c>
      <c r="M80" s="3" t="s">
        <v>270</v>
      </c>
      <c r="N80" s="7">
        <v>43970.0</v>
      </c>
      <c r="O80" s="3">
        <v>0.0</v>
      </c>
      <c r="P80" s="9"/>
      <c r="Q80" s="9" t="s">
        <v>391</v>
      </c>
      <c r="R80" s="9" t="s">
        <v>392</v>
      </c>
      <c r="S80" s="3" t="s">
        <v>393</v>
      </c>
    </row>
    <row r="81">
      <c r="A81" s="3" t="s">
        <v>291</v>
      </c>
      <c r="B81" s="3">
        <v>2018.0</v>
      </c>
      <c r="C81" s="3" t="s">
        <v>297</v>
      </c>
      <c r="D81" s="3" t="s">
        <v>394</v>
      </c>
      <c r="F81" s="3" t="s">
        <v>40</v>
      </c>
      <c r="G81" s="3" t="s">
        <v>163</v>
      </c>
      <c r="H81" s="3" t="s">
        <v>298</v>
      </c>
      <c r="I81" s="4">
        <v>2020.0</v>
      </c>
      <c r="J81" s="5">
        <v>2023.0</v>
      </c>
      <c r="K81" s="6">
        <v>45050.0</v>
      </c>
      <c r="L81" s="3">
        <v>10.9</v>
      </c>
      <c r="M81" s="3" t="s">
        <v>178</v>
      </c>
      <c r="N81" s="7">
        <v>45115.0</v>
      </c>
      <c r="O81" s="3">
        <v>1.0</v>
      </c>
      <c r="P81">
        <f t="shared" ref="P81:P82" si="8">O81*L81</f>
        <v>10.9</v>
      </c>
    </row>
    <row r="82">
      <c r="A82" s="3" t="s">
        <v>395</v>
      </c>
      <c r="B82" s="3">
        <v>2018.0</v>
      </c>
      <c r="C82" s="3" t="s">
        <v>152</v>
      </c>
      <c r="F82" s="3" t="s">
        <v>29</v>
      </c>
      <c r="G82" s="3" t="s">
        <v>154</v>
      </c>
      <c r="H82" s="3" t="s">
        <v>155</v>
      </c>
      <c r="I82" s="4">
        <v>2020.0</v>
      </c>
      <c r="J82" s="5">
        <v>2023.0</v>
      </c>
      <c r="K82" s="6">
        <v>45780.0</v>
      </c>
      <c r="L82" s="3">
        <v>15.5</v>
      </c>
      <c r="M82" s="3" t="s">
        <v>118</v>
      </c>
      <c r="N82" s="7">
        <v>45739.0</v>
      </c>
      <c r="O82" s="3">
        <v>2.0</v>
      </c>
      <c r="P82">
        <f t="shared" si="8"/>
        <v>31</v>
      </c>
    </row>
    <row r="83">
      <c r="A83" s="3" t="s">
        <v>372</v>
      </c>
      <c r="B83" s="3">
        <v>2019.0</v>
      </c>
      <c r="C83" s="3" t="s">
        <v>373</v>
      </c>
      <c r="D83" s="3" t="s">
        <v>396</v>
      </c>
      <c r="F83" s="3" t="s">
        <v>204</v>
      </c>
      <c r="G83" s="3" t="s">
        <v>163</v>
      </c>
      <c r="H83" s="3" t="s">
        <v>250</v>
      </c>
      <c r="I83" s="4">
        <v>2020.0</v>
      </c>
      <c r="J83" s="3">
        <v>2023.0</v>
      </c>
      <c r="L83" s="3">
        <v>11.0</v>
      </c>
      <c r="M83" s="3" t="s">
        <v>55</v>
      </c>
      <c r="N83" s="10">
        <v>44156.0</v>
      </c>
      <c r="O83" s="3">
        <v>0.0</v>
      </c>
      <c r="P83" s="7"/>
      <c r="Q83" s="7">
        <v>44932.0</v>
      </c>
      <c r="R83" s="3">
        <v>2.0</v>
      </c>
      <c r="S83" s="3" t="s">
        <v>397</v>
      </c>
    </row>
    <row r="84">
      <c r="A84" s="3" t="s">
        <v>160</v>
      </c>
      <c r="B84" s="3">
        <v>2018.0</v>
      </c>
      <c r="C84" s="3" t="s">
        <v>161</v>
      </c>
      <c r="D84" s="3" t="s">
        <v>398</v>
      </c>
      <c r="F84" s="3" t="s">
        <v>22</v>
      </c>
      <c r="G84" s="3" t="s">
        <v>163</v>
      </c>
      <c r="H84" s="3" t="s">
        <v>164</v>
      </c>
      <c r="I84" s="4">
        <v>2020.0</v>
      </c>
      <c r="J84" s="3">
        <v>2023.0</v>
      </c>
      <c r="K84" s="6">
        <v>43953.0</v>
      </c>
      <c r="M84" s="3" t="s">
        <v>165</v>
      </c>
      <c r="N84" s="7">
        <v>43945.0</v>
      </c>
      <c r="O84" s="3">
        <v>0.0</v>
      </c>
      <c r="P84" s="7"/>
      <c r="Q84" s="7">
        <v>43945.0</v>
      </c>
      <c r="R84" s="3">
        <v>4.0</v>
      </c>
      <c r="S84" s="3" t="s">
        <v>399</v>
      </c>
    </row>
    <row r="85">
      <c r="A85" s="3" t="s">
        <v>400</v>
      </c>
      <c r="B85" s="3">
        <v>2018.0</v>
      </c>
      <c r="C85" s="3" t="s">
        <v>401</v>
      </c>
      <c r="F85" s="3" t="s">
        <v>204</v>
      </c>
      <c r="G85" s="3" t="s">
        <v>129</v>
      </c>
      <c r="H85" s="3" t="s">
        <v>250</v>
      </c>
      <c r="I85" s="4">
        <v>2020.0</v>
      </c>
      <c r="J85" s="3">
        <v>2023.0</v>
      </c>
      <c r="L85" s="3">
        <v>10.0</v>
      </c>
      <c r="M85" s="3" t="s">
        <v>55</v>
      </c>
      <c r="N85" s="10">
        <v>43785.0</v>
      </c>
      <c r="O85" s="3">
        <v>0.0</v>
      </c>
      <c r="P85" s="12"/>
      <c r="Q85" s="12">
        <v>43835.0</v>
      </c>
      <c r="R85" s="9">
        <v>3.5</v>
      </c>
      <c r="S85" s="3" t="s">
        <v>402</v>
      </c>
    </row>
    <row r="86">
      <c r="A86" s="3" t="s">
        <v>400</v>
      </c>
      <c r="B86" s="3">
        <v>2018.0</v>
      </c>
      <c r="C86" s="3" t="s">
        <v>403</v>
      </c>
      <c r="F86" s="3" t="s">
        <v>22</v>
      </c>
      <c r="G86" s="3" t="s">
        <v>129</v>
      </c>
      <c r="H86" s="3" t="s">
        <v>93</v>
      </c>
      <c r="I86" s="4">
        <v>2020.0</v>
      </c>
      <c r="J86" s="3">
        <v>2023.0</v>
      </c>
      <c r="K86" s="6">
        <v>43955.0</v>
      </c>
      <c r="L86" s="9" t="s">
        <v>404</v>
      </c>
      <c r="M86" s="3" t="s">
        <v>405</v>
      </c>
      <c r="N86" s="9" t="s">
        <v>406</v>
      </c>
      <c r="O86" s="3">
        <v>0.0</v>
      </c>
      <c r="P86" s="9"/>
      <c r="Q86" s="9" t="s">
        <v>407</v>
      </c>
      <c r="R86" s="9" t="s">
        <v>408</v>
      </c>
      <c r="S86" s="3" t="s">
        <v>409</v>
      </c>
    </row>
    <row r="87">
      <c r="A87" s="3" t="s">
        <v>400</v>
      </c>
      <c r="B87" s="3">
        <v>2018.0</v>
      </c>
      <c r="C87" s="3" t="s">
        <v>401</v>
      </c>
      <c r="D87" s="3" t="s">
        <v>410</v>
      </c>
      <c r="F87" s="3" t="s">
        <v>29</v>
      </c>
      <c r="G87" s="3" t="s">
        <v>129</v>
      </c>
      <c r="H87" s="3" t="s">
        <v>250</v>
      </c>
      <c r="I87" s="4">
        <v>2020.0</v>
      </c>
      <c r="J87" s="3">
        <v>2023.0</v>
      </c>
      <c r="K87" s="6">
        <v>44686.0</v>
      </c>
      <c r="L87" s="3">
        <v>15.0</v>
      </c>
      <c r="M87" s="3" t="s">
        <v>99</v>
      </c>
      <c r="N87" s="10">
        <v>44885.0</v>
      </c>
      <c r="O87" s="3">
        <v>0.0</v>
      </c>
      <c r="P87" s="7"/>
      <c r="Q87" s="7">
        <v>44899.0</v>
      </c>
      <c r="R87" s="3">
        <v>3.5</v>
      </c>
      <c r="S87" s="3" t="s">
        <v>411</v>
      </c>
    </row>
    <row r="88">
      <c r="A88" s="3" t="s">
        <v>400</v>
      </c>
      <c r="B88" s="3">
        <v>2018.0</v>
      </c>
      <c r="C88" s="3" t="s">
        <v>401</v>
      </c>
      <c r="D88" s="3" t="s">
        <v>410</v>
      </c>
      <c r="F88" s="3" t="s">
        <v>29</v>
      </c>
      <c r="G88" s="3" t="s">
        <v>129</v>
      </c>
      <c r="H88" s="3" t="s">
        <v>250</v>
      </c>
      <c r="I88" s="4">
        <v>2020.0</v>
      </c>
      <c r="J88" s="14">
        <v>2023.0</v>
      </c>
      <c r="K88" s="6">
        <v>45051.0</v>
      </c>
      <c r="L88" s="3">
        <v>15.5</v>
      </c>
      <c r="M88" s="3" t="s">
        <v>55</v>
      </c>
      <c r="N88" s="7">
        <v>45186.0</v>
      </c>
      <c r="O88" s="3">
        <v>0.0</v>
      </c>
      <c r="P88" s="7"/>
      <c r="Q88" s="7">
        <v>45208.0</v>
      </c>
      <c r="R88" s="3">
        <v>3.5</v>
      </c>
      <c r="S88" s="3" t="s">
        <v>412</v>
      </c>
    </row>
    <row r="89">
      <c r="A89" s="3" t="s">
        <v>413</v>
      </c>
      <c r="B89" s="3">
        <v>2020.0</v>
      </c>
      <c r="C89" s="3" t="s">
        <v>44</v>
      </c>
      <c r="D89" s="3" t="s">
        <v>414</v>
      </c>
      <c r="F89" s="3" t="s">
        <v>204</v>
      </c>
      <c r="G89" s="3" t="s">
        <v>44</v>
      </c>
      <c r="H89" s="3" t="s">
        <v>415</v>
      </c>
      <c r="I89" s="4">
        <v>2022.0</v>
      </c>
      <c r="J89" s="3">
        <v>2023.0</v>
      </c>
      <c r="L89" s="3">
        <v>10.0</v>
      </c>
      <c r="M89" s="3" t="s">
        <v>55</v>
      </c>
      <c r="N89" s="10">
        <v>44518.0</v>
      </c>
      <c r="O89" s="3">
        <v>0.0</v>
      </c>
      <c r="P89" s="7"/>
      <c r="Q89" s="7">
        <v>44683.0</v>
      </c>
      <c r="R89" s="3">
        <v>1.0</v>
      </c>
      <c r="S89" s="3" t="s">
        <v>416</v>
      </c>
    </row>
    <row r="90">
      <c r="A90" s="3" t="s">
        <v>417</v>
      </c>
      <c r="B90" s="3">
        <v>2014.0</v>
      </c>
      <c r="C90" s="3" t="s">
        <v>418</v>
      </c>
      <c r="D90" s="3" t="s">
        <v>410</v>
      </c>
      <c r="F90" s="3" t="s">
        <v>29</v>
      </c>
      <c r="G90" s="3" t="s">
        <v>138</v>
      </c>
      <c r="H90" s="3" t="s">
        <v>419</v>
      </c>
      <c r="I90" s="4">
        <v>2017.0</v>
      </c>
      <c r="J90" s="5">
        <v>2024.0</v>
      </c>
      <c r="K90" s="6">
        <v>45050.0</v>
      </c>
      <c r="L90" s="3">
        <v>36.0</v>
      </c>
      <c r="M90" s="3" t="s">
        <v>118</v>
      </c>
      <c r="N90" s="10">
        <v>45259.0</v>
      </c>
      <c r="O90" s="3">
        <v>2.0</v>
      </c>
      <c r="P90">
        <f>O90*L90</f>
        <v>72</v>
      </c>
    </row>
    <row r="91">
      <c r="A91" s="3" t="s">
        <v>420</v>
      </c>
      <c r="B91" s="3">
        <v>2014.0</v>
      </c>
      <c r="C91" s="3" t="s">
        <v>193</v>
      </c>
      <c r="F91" s="3" t="s">
        <v>29</v>
      </c>
      <c r="G91" s="3" t="s">
        <v>163</v>
      </c>
      <c r="H91" s="3" t="s">
        <v>274</v>
      </c>
      <c r="I91" s="4">
        <v>2017.0</v>
      </c>
      <c r="J91" s="3">
        <v>2024.0</v>
      </c>
      <c r="K91" s="6">
        <v>43955.0</v>
      </c>
      <c r="M91" s="3" t="s">
        <v>99</v>
      </c>
      <c r="N91" s="7">
        <v>44030.0</v>
      </c>
      <c r="O91" s="3">
        <v>0.0</v>
      </c>
      <c r="P91" s="7"/>
      <c r="Q91" s="7">
        <v>44381.0</v>
      </c>
      <c r="R91" s="3">
        <v>4.5</v>
      </c>
      <c r="S91" s="3" t="s">
        <v>421</v>
      </c>
    </row>
    <row r="92">
      <c r="A92" s="3" t="s">
        <v>422</v>
      </c>
      <c r="B92" s="3">
        <v>2014.0</v>
      </c>
      <c r="C92" s="3" t="s">
        <v>423</v>
      </c>
      <c r="E92" s="3" t="s">
        <v>424</v>
      </c>
      <c r="F92" s="3" t="s">
        <v>29</v>
      </c>
      <c r="G92" s="3" t="s">
        <v>44</v>
      </c>
      <c r="H92" s="3" t="s">
        <v>46</v>
      </c>
      <c r="I92" s="4">
        <v>2018.0</v>
      </c>
      <c r="J92" s="3">
        <v>2024.0</v>
      </c>
      <c r="K92" s="6">
        <v>43588.0</v>
      </c>
      <c r="M92" s="3" t="s">
        <v>156</v>
      </c>
      <c r="N92" s="10">
        <v>43079.0</v>
      </c>
      <c r="O92" s="3">
        <v>0.0</v>
      </c>
      <c r="P92" s="12"/>
      <c r="Q92" s="12">
        <v>45266.0</v>
      </c>
      <c r="R92" s="9">
        <v>4.0</v>
      </c>
      <c r="S92" s="3" t="s">
        <v>425</v>
      </c>
    </row>
    <row r="93">
      <c r="A93" s="3" t="s">
        <v>253</v>
      </c>
      <c r="B93" s="3">
        <v>2016.0</v>
      </c>
      <c r="C93" s="3" t="s">
        <v>257</v>
      </c>
      <c r="D93" s="3" t="s">
        <v>258</v>
      </c>
      <c r="F93" s="3" t="s">
        <v>29</v>
      </c>
      <c r="G93" s="3" t="s">
        <v>129</v>
      </c>
      <c r="H93" s="3" t="s">
        <v>250</v>
      </c>
      <c r="I93" s="4">
        <v>2019.0</v>
      </c>
      <c r="J93" s="3">
        <v>2024.0</v>
      </c>
      <c r="K93" s="6">
        <v>43588.0</v>
      </c>
      <c r="M93" s="3" t="s">
        <v>99</v>
      </c>
      <c r="N93" s="7">
        <v>43209.0</v>
      </c>
      <c r="O93" s="3">
        <v>0.0</v>
      </c>
      <c r="P93" s="12"/>
      <c r="Q93" s="12">
        <v>44037.0</v>
      </c>
      <c r="R93" s="9">
        <v>4.0</v>
      </c>
      <c r="S93" s="3" t="s">
        <v>426</v>
      </c>
    </row>
    <row r="94">
      <c r="A94" s="3" t="s">
        <v>427</v>
      </c>
      <c r="B94" s="3">
        <v>2016.0</v>
      </c>
      <c r="C94" s="3" t="s">
        <v>428</v>
      </c>
      <c r="D94" s="3" t="s">
        <v>429</v>
      </c>
      <c r="F94" s="3" t="s">
        <v>29</v>
      </c>
      <c r="G94" s="3" t="s">
        <v>84</v>
      </c>
      <c r="H94" s="3" t="s">
        <v>430</v>
      </c>
      <c r="I94" s="4">
        <v>2019.0</v>
      </c>
      <c r="J94" s="3">
        <v>2024.0</v>
      </c>
      <c r="K94" s="6">
        <v>43589.0</v>
      </c>
      <c r="L94" s="3">
        <v>4.9</v>
      </c>
      <c r="M94" s="3" t="s">
        <v>147</v>
      </c>
      <c r="N94" s="10">
        <v>43092.0</v>
      </c>
      <c r="O94" s="3">
        <v>0.0</v>
      </c>
      <c r="P94" s="7"/>
      <c r="Q94" s="7">
        <v>43801.0</v>
      </c>
      <c r="R94" s="3">
        <v>3.5</v>
      </c>
      <c r="S94" s="3" t="s">
        <v>431</v>
      </c>
    </row>
    <row r="95">
      <c r="A95" s="3" t="s">
        <v>432</v>
      </c>
      <c r="B95" s="3">
        <v>2017.0</v>
      </c>
      <c r="C95" s="3" t="s">
        <v>433</v>
      </c>
      <c r="F95" s="3" t="s">
        <v>29</v>
      </c>
      <c r="G95" s="3" t="s">
        <v>434</v>
      </c>
      <c r="H95" s="3" t="s">
        <v>435</v>
      </c>
      <c r="I95" s="4">
        <v>2019.0</v>
      </c>
      <c r="J95" s="5">
        <v>2024.0</v>
      </c>
      <c r="M95" s="3" t="s">
        <v>270</v>
      </c>
      <c r="N95" s="7">
        <v>43685.0</v>
      </c>
      <c r="O95" s="3">
        <v>3.0</v>
      </c>
      <c r="P95">
        <f>O95*L95</f>
        <v>0</v>
      </c>
      <c r="Q95" s="9" t="s">
        <v>436</v>
      </c>
      <c r="R95" s="9" t="s">
        <v>229</v>
      </c>
      <c r="S95" s="3" t="s">
        <v>437</v>
      </c>
    </row>
    <row r="96">
      <c r="A96" s="3" t="s">
        <v>192</v>
      </c>
      <c r="B96" s="3">
        <v>2017.0</v>
      </c>
      <c r="C96" s="3" t="s">
        <v>193</v>
      </c>
      <c r="F96" s="3" t="s">
        <v>22</v>
      </c>
      <c r="G96" s="3" t="s">
        <v>163</v>
      </c>
      <c r="H96" s="3" t="s">
        <v>195</v>
      </c>
      <c r="I96" s="4">
        <v>2020.0</v>
      </c>
      <c r="J96" s="3">
        <v>2024.0</v>
      </c>
      <c r="K96" s="6">
        <v>43589.0</v>
      </c>
      <c r="L96" s="3">
        <v>5.5</v>
      </c>
      <c r="M96" s="3" t="s">
        <v>99</v>
      </c>
      <c r="N96" s="7">
        <v>43617.0</v>
      </c>
      <c r="O96" s="3">
        <v>0.0</v>
      </c>
      <c r="P96" s="12"/>
      <c r="Q96" s="12">
        <v>43911.0</v>
      </c>
      <c r="R96" s="9">
        <v>3.5</v>
      </c>
      <c r="S96" s="3" t="s">
        <v>438</v>
      </c>
    </row>
    <row r="97">
      <c r="A97" s="3" t="s">
        <v>120</v>
      </c>
      <c r="B97" s="3">
        <v>2019.0</v>
      </c>
      <c r="C97" s="3" t="s">
        <v>121</v>
      </c>
      <c r="F97" s="3" t="s">
        <v>29</v>
      </c>
      <c r="G97" s="3" t="s">
        <v>122</v>
      </c>
      <c r="H97" s="3" t="s">
        <v>123</v>
      </c>
      <c r="I97" s="4">
        <v>2020.0</v>
      </c>
      <c r="J97" s="5">
        <v>2024.0</v>
      </c>
      <c r="K97" s="6">
        <v>45415.0</v>
      </c>
      <c r="M97" s="3" t="s">
        <v>79</v>
      </c>
      <c r="N97" s="7">
        <v>45465.0</v>
      </c>
      <c r="O97" s="3">
        <v>1.0</v>
      </c>
      <c r="P97">
        <f>O97*L97</f>
        <v>0</v>
      </c>
    </row>
    <row r="98">
      <c r="A98" s="3" t="s">
        <v>439</v>
      </c>
      <c r="B98" s="3">
        <v>2019.0</v>
      </c>
      <c r="C98" s="3" t="s">
        <v>440</v>
      </c>
      <c r="D98" s="3" t="s">
        <v>441</v>
      </c>
      <c r="F98" s="3" t="s">
        <v>29</v>
      </c>
      <c r="G98" s="3" t="s">
        <v>352</v>
      </c>
      <c r="H98" s="3" t="s">
        <v>250</v>
      </c>
      <c r="I98" s="4">
        <v>2020.0</v>
      </c>
      <c r="J98" s="3">
        <v>2024.0</v>
      </c>
      <c r="K98" s="6">
        <v>44319.0</v>
      </c>
      <c r="L98" s="3">
        <v>16.5</v>
      </c>
      <c r="M98" s="3" t="s">
        <v>184</v>
      </c>
      <c r="N98" s="10">
        <v>44518.0</v>
      </c>
      <c r="O98" s="3">
        <v>0.0</v>
      </c>
      <c r="P98" s="9"/>
      <c r="Q98" s="9" t="s">
        <v>442</v>
      </c>
      <c r="R98" s="9" t="s">
        <v>49</v>
      </c>
      <c r="S98" s="3" t="s">
        <v>443</v>
      </c>
    </row>
    <row r="99">
      <c r="A99" s="3" t="s">
        <v>444</v>
      </c>
      <c r="B99" s="3">
        <v>2019.0</v>
      </c>
      <c r="C99" s="3" t="s">
        <v>445</v>
      </c>
      <c r="D99" s="3" t="s">
        <v>446</v>
      </c>
      <c r="F99" s="3" t="s">
        <v>29</v>
      </c>
      <c r="G99" s="3" t="s">
        <v>84</v>
      </c>
      <c r="H99" s="3" t="s">
        <v>447</v>
      </c>
      <c r="I99" s="4">
        <v>2020.0</v>
      </c>
      <c r="J99" s="5">
        <v>2024.0</v>
      </c>
      <c r="K99" s="6">
        <v>45049.0</v>
      </c>
      <c r="L99" s="3">
        <v>26.0</v>
      </c>
      <c r="M99" s="3" t="s">
        <v>448</v>
      </c>
      <c r="N99" s="7">
        <v>45063.0</v>
      </c>
      <c r="O99" s="3">
        <v>0.0</v>
      </c>
      <c r="P99">
        <f>O99*L99</f>
        <v>0</v>
      </c>
      <c r="Q99" s="7">
        <v>45770.0</v>
      </c>
      <c r="R99" s="3">
        <v>3.5</v>
      </c>
      <c r="S99" s="3" t="s">
        <v>449</v>
      </c>
    </row>
    <row r="100">
      <c r="A100" s="3" t="s">
        <v>450</v>
      </c>
      <c r="B100" s="3">
        <v>2019.0</v>
      </c>
      <c r="C100" s="3" t="s">
        <v>135</v>
      </c>
      <c r="D100" s="3" t="s">
        <v>451</v>
      </c>
      <c r="F100" s="3" t="s">
        <v>204</v>
      </c>
      <c r="G100" s="3" t="s">
        <v>138</v>
      </c>
      <c r="H100" s="3" t="s">
        <v>452</v>
      </c>
      <c r="I100" s="4">
        <v>2020.0</v>
      </c>
      <c r="J100" s="3">
        <v>2024.0</v>
      </c>
      <c r="L100" s="3">
        <v>12.9</v>
      </c>
      <c r="M100" s="3" t="s">
        <v>270</v>
      </c>
      <c r="N100" s="7">
        <v>44012.0</v>
      </c>
      <c r="O100" s="3">
        <v>0.0</v>
      </c>
      <c r="P100" s="9"/>
      <c r="Q100" s="9" t="s">
        <v>453</v>
      </c>
      <c r="R100" s="9" t="s">
        <v>454</v>
      </c>
      <c r="S100" s="3" t="s">
        <v>455</v>
      </c>
    </row>
    <row r="101">
      <c r="A101" s="3" t="s">
        <v>456</v>
      </c>
      <c r="B101" s="3">
        <v>2019.0</v>
      </c>
      <c r="C101" s="3" t="s">
        <v>457</v>
      </c>
      <c r="D101" s="3" t="s">
        <v>359</v>
      </c>
      <c r="F101" s="3" t="s">
        <v>22</v>
      </c>
      <c r="G101" s="3" t="s">
        <v>129</v>
      </c>
      <c r="H101" s="3" t="s">
        <v>458</v>
      </c>
      <c r="I101" s="4">
        <v>2020.0</v>
      </c>
      <c r="J101" s="3">
        <v>2024.0</v>
      </c>
      <c r="K101" s="6">
        <v>44320.0</v>
      </c>
      <c r="L101" s="3">
        <v>9.5</v>
      </c>
      <c r="M101" s="3" t="s">
        <v>288</v>
      </c>
      <c r="N101" s="7">
        <v>44321.0</v>
      </c>
      <c r="O101" s="3">
        <v>0.0</v>
      </c>
      <c r="P101" s="9"/>
      <c r="Q101" s="9" t="s">
        <v>459</v>
      </c>
      <c r="R101" s="9" t="s">
        <v>370</v>
      </c>
      <c r="S101" s="3" t="s">
        <v>460</v>
      </c>
    </row>
    <row r="102">
      <c r="A102" s="3" t="s">
        <v>461</v>
      </c>
      <c r="B102" s="3">
        <v>2019.0</v>
      </c>
      <c r="C102" s="3" t="s">
        <v>403</v>
      </c>
      <c r="F102" s="3" t="s">
        <v>22</v>
      </c>
      <c r="G102" s="3" t="s">
        <v>129</v>
      </c>
      <c r="H102" s="3" t="s">
        <v>93</v>
      </c>
      <c r="I102" s="4">
        <v>2021.0</v>
      </c>
      <c r="J102" s="3">
        <v>2024.0</v>
      </c>
      <c r="K102" s="6">
        <v>44685.0</v>
      </c>
      <c r="L102" s="3">
        <v>11.5</v>
      </c>
      <c r="M102" s="3" t="s">
        <v>118</v>
      </c>
      <c r="N102" s="7">
        <v>44640.0</v>
      </c>
      <c r="O102" s="3">
        <v>0.0</v>
      </c>
      <c r="P102" s="9"/>
      <c r="Q102" s="9" t="s">
        <v>462</v>
      </c>
      <c r="R102" s="9" t="s">
        <v>276</v>
      </c>
      <c r="S102" s="3" t="s">
        <v>463</v>
      </c>
    </row>
    <row r="103">
      <c r="A103" s="3" t="s">
        <v>461</v>
      </c>
      <c r="B103" s="3">
        <v>2019.0</v>
      </c>
      <c r="C103" s="3" t="s">
        <v>403</v>
      </c>
      <c r="D103" s="3" t="s">
        <v>146</v>
      </c>
      <c r="F103" s="3" t="s">
        <v>22</v>
      </c>
      <c r="G103" s="3" t="s">
        <v>129</v>
      </c>
      <c r="H103" s="3" t="s">
        <v>93</v>
      </c>
      <c r="I103" s="4">
        <v>2021.0</v>
      </c>
      <c r="J103" s="3">
        <v>2024.0</v>
      </c>
      <c r="K103" s="6">
        <v>44685.0</v>
      </c>
      <c r="L103" s="3">
        <v>14.0</v>
      </c>
      <c r="M103" s="3" t="s">
        <v>118</v>
      </c>
      <c r="N103" s="7">
        <v>44640.0</v>
      </c>
      <c r="O103" s="3">
        <v>0.0</v>
      </c>
      <c r="P103" s="7"/>
      <c r="Q103" s="7">
        <v>44866.0</v>
      </c>
      <c r="R103" s="3">
        <v>4.0</v>
      </c>
      <c r="S103" s="3" t="s">
        <v>464</v>
      </c>
    </row>
    <row r="104">
      <c r="A104" s="3" t="s">
        <v>465</v>
      </c>
      <c r="B104" s="9">
        <v>2020.0</v>
      </c>
      <c r="C104" s="3" t="s">
        <v>330</v>
      </c>
      <c r="D104" s="3" t="s">
        <v>466</v>
      </c>
      <c r="F104" s="3" t="s">
        <v>29</v>
      </c>
      <c r="G104" s="3" t="s">
        <v>330</v>
      </c>
      <c r="H104" s="3" t="s">
        <v>331</v>
      </c>
      <c r="I104" s="4">
        <v>2021.0</v>
      </c>
      <c r="J104" s="14">
        <v>2024.0</v>
      </c>
      <c r="K104" s="6">
        <v>44685.0</v>
      </c>
      <c r="L104" s="3">
        <v>8.1</v>
      </c>
      <c r="M104" s="3" t="s">
        <v>99</v>
      </c>
      <c r="N104" s="7">
        <v>44793.0</v>
      </c>
      <c r="O104" s="3">
        <v>0.0</v>
      </c>
      <c r="P104">
        <f t="shared" ref="P104:P107" si="9">O104*L104</f>
        <v>0</v>
      </c>
      <c r="Q104" s="9" t="s">
        <v>467</v>
      </c>
      <c r="R104" s="9" t="s">
        <v>468</v>
      </c>
      <c r="S104" s="3" t="s">
        <v>469</v>
      </c>
    </row>
    <row r="105">
      <c r="A105" s="3" t="s">
        <v>465</v>
      </c>
      <c r="B105" s="9">
        <v>2020.0</v>
      </c>
      <c r="C105" s="3" t="s">
        <v>330</v>
      </c>
      <c r="D105" s="17">
        <v>1729.0</v>
      </c>
      <c r="F105" s="3" t="s">
        <v>29</v>
      </c>
      <c r="G105" s="3" t="s">
        <v>330</v>
      </c>
      <c r="H105" s="3" t="s">
        <v>331</v>
      </c>
      <c r="I105" s="4">
        <v>2021.0</v>
      </c>
      <c r="J105" s="5">
        <v>2024.0</v>
      </c>
      <c r="K105" s="6">
        <v>44685.0</v>
      </c>
      <c r="L105" s="3">
        <v>11.9</v>
      </c>
      <c r="M105" s="3" t="s">
        <v>99</v>
      </c>
      <c r="N105" s="7">
        <v>44793.0</v>
      </c>
      <c r="O105" s="3">
        <v>6.0</v>
      </c>
      <c r="P105">
        <f t="shared" si="9"/>
        <v>71.4</v>
      </c>
    </row>
    <row r="106">
      <c r="A106" s="3" t="s">
        <v>470</v>
      </c>
      <c r="B106" s="3">
        <v>2019.0</v>
      </c>
      <c r="C106" s="3" t="s">
        <v>292</v>
      </c>
      <c r="D106" s="3" t="s">
        <v>471</v>
      </c>
      <c r="F106" s="3" t="s">
        <v>29</v>
      </c>
      <c r="G106" s="3" t="s">
        <v>163</v>
      </c>
      <c r="H106" s="3" t="s">
        <v>472</v>
      </c>
      <c r="I106" s="4">
        <v>2021.0</v>
      </c>
      <c r="J106" s="5">
        <v>2024.0</v>
      </c>
      <c r="K106" s="6">
        <v>45050.0</v>
      </c>
      <c r="L106" s="3">
        <v>15.0</v>
      </c>
      <c r="M106" s="3" t="s">
        <v>473</v>
      </c>
      <c r="N106" s="7">
        <v>45115.0</v>
      </c>
      <c r="O106" s="3">
        <v>0.0</v>
      </c>
      <c r="P106">
        <f t="shared" si="9"/>
        <v>0</v>
      </c>
      <c r="Q106" s="10">
        <v>45955.0</v>
      </c>
      <c r="R106" s="3">
        <v>4.0</v>
      </c>
      <c r="S106" s="3" t="s">
        <v>474</v>
      </c>
    </row>
    <row r="107">
      <c r="A107" s="3" t="s">
        <v>475</v>
      </c>
      <c r="B107" s="3">
        <v>2019.0</v>
      </c>
      <c r="C107" s="3" t="s">
        <v>292</v>
      </c>
      <c r="D107" s="3" t="s">
        <v>476</v>
      </c>
      <c r="F107" s="3" t="s">
        <v>29</v>
      </c>
      <c r="G107" s="3" t="s">
        <v>163</v>
      </c>
      <c r="H107" s="3" t="s">
        <v>472</v>
      </c>
      <c r="I107" s="4">
        <v>2021.0</v>
      </c>
      <c r="J107" s="5">
        <v>2024.0</v>
      </c>
      <c r="K107" s="6">
        <v>45050.0</v>
      </c>
      <c r="L107" s="3">
        <v>20.0</v>
      </c>
      <c r="M107" s="3" t="s">
        <v>473</v>
      </c>
      <c r="N107" s="7">
        <v>45115.0</v>
      </c>
      <c r="O107" s="3">
        <v>0.0</v>
      </c>
      <c r="P107">
        <f t="shared" si="9"/>
        <v>0</v>
      </c>
      <c r="Q107" s="10">
        <v>45956.0</v>
      </c>
      <c r="R107" s="3">
        <v>2.5</v>
      </c>
      <c r="S107" s="3" t="s">
        <v>477</v>
      </c>
    </row>
    <row r="108">
      <c r="A108" s="3" t="s">
        <v>478</v>
      </c>
      <c r="B108" s="3">
        <v>2019.0</v>
      </c>
      <c r="C108" s="3" t="s">
        <v>479</v>
      </c>
      <c r="D108" s="3" t="s">
        <v>480</v>
      </c>
      <c r="F108" s="3" t="s">
        <v>29</v>
      </c>
      <c r="G108" s="3" t="s">
        <v>71</v>
      </c>
      <c r="H108" s="3" t="s">
        <v>481</v>
      </c>
      <c r="I108" s="4">
        <v>2021.0</v>
      </c>
      <c r="J108" s="3">
        <v>2024.0</v>
      </c>
      <c r="K108" s="6">
        <v>43955.0</v>
      </c>
      <c r="L108" s="3">
        <v>7.5</v>
      </c>
      <c r="M108" s="3" t="s">
        <v>55</v>
      </c>
      <c r="N108" s="9" t="s">
        <v>482</v>
      </c>
      <c r="O108" s="3">
        <v>0.0</v>
      </c>
      <c r="P108" s="7"/>
      <c r="Q108" s="7">
        <v>44198.0</v>
      </c>
      <c r="R108" s="3">
        <v>3.5</v>
      </c>
      <c r="S108" s="3" t="s">
        <v>483</v>
      </c>
    </row>
    <row r="109">
      <c r="A109" s="3" t="s">
        <v>484</v>
      </c>
      <c r="B109" s="3">
        <v>2019.0</v>
      </c>
      <c r="C109" s="3" t="s">
        <v>485</v>
      </c>
      <c r="D109" s="3" t="s">
        <v>486</v>
      </c>
      <c r="F109" s="3" t="s">
        <v>29</v>
      </c>
      <c r="G109" s="3" t="s">
        <v>84</v>
      </c>
      <c r="H109" s="3" t="s">
        <v>487</v>
      </c>
      <c r="I109" s="4">
        <v>2021.0</v>
      </c>
      <c r="J109" s="5">
        <v>2024.0</v>
      </c>
      <c r="K109" s="6">
        <v>44684.0</v>
      </c>
      <c r="L109" s="3">
        <v>25.5</v>
      </c>
      <c r="M109" s="3" t="s">
        <v>118</v>
      </c>
      <c r="N109" s="10">
        <v>44888.0</v>
      </c>
      <c r="O109" s="3">
        <v>1.0</v>
      </c>
      <c r="P109">
        <f t="shared" ref="P109:P110" si="10">O109*L109</f>
        <v>25.5</v>
      </c>
    </row>
    <row r="110">
      <c r="A110" s="3" t="s">
        <v>322</v>
      </c>
      <c r="B110" s="3">
        <v>2019.0</v>
      </c>
      <c r="C110" s="3" t="s">
        <v>323</v>
      </c>
      <c r="D110" s="3" t="s">
        <v>324</v>
      </c>
      <c r="F110" s="3" t="s">
        <v>29</v>
      </c>
      <c r="G110" s="3" t="s">
        <v>84</v>
      </c>
      <c r="H110" s="3" t="s">
        <v>323</v>
      </c>
      <c r="I110" s="4">
        <v>2021.0</v>
      </c>
      <c r="J110" s="5">
        <v>2024.0</v>
      </c>
      <c r="K110" s="6">
        <v>44684.0</v>
      </c>
      <c r="L110" s="3">
        <v>18.0</v>
      </c>
      <c r="M110" s="3" t="s">
        <v>118</v>
      </c>
      <c r="N110" s="7">
        <v>44640.0</v>
      </c>
      <c r="O110" s="3">
        <v>1.0</v>
      </c>
      <c r="P110">
        <f t="shared" si="10"/>
        <v>18</v>
      </c>
      <c r="Q110" s="10">
        <v>45581.0</v>
      </c>
      <c r="R110" s="3">
        <v>4.0</v>
      </c>
      <c r="S110" s="3" t="s">
        <v>488</v>
      </c>
    </row>
    <row r="111">
      <c r="A111" s="3" t="s">
        <v>400</v>
      </c>
      <c r="B111" s="3">
        <v>2019.0</v>
      </c>
      <c r="C111" s="3" t="s">
        <v>93</v>
      </c>
      <c r="D111" s="3" t="s">
        <v>146</v>
      </c>
      <c r="F111" s="3" t="s">
        <v>22</v>
      </c>
      <c r="G111" s="3" t="s">
        <v>129</v>
      </c>
      <c r="H111" s="3" t="s">
        <v>93</v>
      </c>
      <c r="I111" s="4">
        <v>2021.0</v>
      </c>
      <c r="J111" s="3">
        <v>2024.0</v>
      </c>
      <c r="K111" s="6">
        <v>44319.0</v>
      </c>
      <c r="M111" s="3" t="s">
        <v>55</v>
      </c>
      <c r="N111" s="7">
        <v>44256.0</v>
      </c>
      <c r="O111" s="3">
        <v>0.0</v>
      </c>
      <c r="P111" s="7"/>
      <c r="Q111" s="7">
        <v>44324.0</v>
      </c>
      <c r="R111" s="3">
        <v>3.5</v>
      </c>
      <c r="S111" s="3" t="s">
        <v>489</v>
      </c>
    </row>
    <row r="112">
      <c r="A112" s="3" t="s">
        <v>400</v>
      </c>
      <c r="B112" s="3">
        <v>2019.0</v>
      </c>
      <c r="C112" s="3" t="s">
        <v>93</v>
      </c>
      <c r="D112" s="3" t="s">
        <v>146</v>
      </c>
      <c r="F112" s="3" t="s">
        <v>22</v>
      </c>
      <c r="G112" s="3" t="s">
        <v>129</v>
      </c>
      <c r="H112" s="3" t="s">
        <v>93</v>
      </c>
      <c r="I112" s="4">
        <v>2021.0</v>
      </c>
      <c r="J112" s="5">
        <v>2024.0</v>
      </c>
      <c r="K112" s="6">
        <v>45416.0</v>
      </c>
      <c r="L112" s="3">
        <v>15.0</v>
      </c>
      <c r="M112" s="3" t="s">
        <v>55</v>
      </c>
      <c r="N112" s="7">
        <v>45557.0</v>
      </c>
      <c r="O112" s="3">
        <v>0.0</v>
      </c>
      <c r="P112">
        <f t="shared" ref="P112:P113" si="11">O112*L112</f>
        <v>0</v>
      </c>
      <c r="Q112" s="3" t="s">
        <v>490</v>
      </c>
      <c r="R112" s="3">
        <v>3.5</v>
      </c>
      <c r="S112" s="3" t="s">
        <v>491</v>
      </c>
    </row>
    <row r="113">
      <c r="A113" s="3" t="s">
        <v>492</v>
      </c>
      <c r="B113" s="3">
        <v>2021.0</v>
      </c>
      <c r="C113" s="3" t="s">
        <v>493</v>
      </c>
      <c r="D113" s="3" t="s">
        <v>494</v>
      </c>
      <c r="F113" s="3" t="s">
        <v>22</v>
      </c>
      <c r="G113" s="3" t="s">
        <v>44</v>
      </c>
      <c r="H113" s="3" t="s">
        <v>495</v>
      </c>
      <c r="I113" s="4">
        <v>2022.0</v>
      </c>
      <c r="J113" s="5">
        <v>2024.0</v>
      </c>
      <c r="K113" s="6">
        <v>45416.0</v>
      </c>
      <c r="L113" s="3">
        <v>22.0</v>
      </c>
      <c r="M113" s="3" t="s">
        <v>55</v>
      </c>
      <c r="N113" s="7">
        <v>45557.0</v>
      </c>
      <c r="O113" s="3">
        <v>0.0</v>
      </c>
      <c r="P113">
        <f t="shared" si="11"/>
        <v>0</v>
      </c>
      <c r="Q113" s="7">
        <v>45864.0</v>
      </c>
      <c r="R113" s="3">
        <v>3.5</v>
      </c>
      <c r="S113" s="3" t="s">
        <v>496</v>
      </c>
    </row>
    <row r="114">
      <c r="A114" s="3" t="s">
        <v>497</v>
      </c>
      <c r="B114" s="3">
        <v>2021.0</v>
      </c>
      <c r="C114" s="3" t="s">
        <v>217</v>
      </c>
      <c r="D114" s="3" t="s">
        <v>498</v>
      </c>
      <c r="F114" s="3" t="s">
        <v>204</v>
      </c>
      <c r="G114" s="3" t="s">
        <v>84</v>
      </c>
      <c r="I114" s="4">
        <v>2022.0</v>
      </c>
      <c r="J114" s="3">
        <v>2024.0</v>
      </c>
      <c r="M114" s="3" t="s">
        <v>499</v>
      </c>
      <c r="N114" s="7">
        <v>44766.0</v>
      </c>
      <c r="O114" s="3">
        <v>0.0</v>
      </c>
      <c r="P114" s="7"/>
      <c r="Q114" s="7">
        <v>44771.0</v>
      </c>
      <c r="R114" s="3">
        <v>4.0</v>
      </c>
      <c r="S114" s="3" t="s">
        <v>500</v>
      </c>
    </row>
    <row r="115">
      <c r="A115" s="3" t="s">
        <v>81</v>
      </c>
      <c r="B115" s="3">
        <v>2021.0</v>
      </c>
      <c r="C115" s="3" t="s">
        <v>217</v>
      </c>
      <c r="D115" s="3" t="s">
        <v>88</v>
      </c>
      <c r="F115" s="3" t="s">
        <v>29</v>
      </c>
      <c r="G115" s="3" t="s">
        <v>84</v>
      </c>
      <c r="H115" s="3" t="s">
        <v>89</v>
      </c>
      <c r="I115" s="4">
        <v>2022.0</v>
      </c>
      <c r="J115" s="5">
        <v>2024.0</v>
      </c>
      <c r="L115" s="3">
        <v>14.0</v>
      </c>
      <c r="M115" s="3" t="s">
        <v>55</v>
      </c>
      <c r="N115" s="10">
        <v>45249.0</v>
      </c>
      <c r="O115" s="3">
        <v>1.0</v>
      </c>
      <c r="P115">
        <f t="shared" ref="P115:P118" si="12">O115*L115</f>
        <v>14</v>
      </c>
    </row>
    <row r="116">
      <c r="A116" s="3" t="s">
        <v>501</v>
      </c>
      <c r="B116" s="3">
        <v>2021.0</v>
      </c>
      <c r="C116" s="3" t="s">
        <v>493</v>
      </c>
      <c r="D116" s="3" t="s">
        <v>502</v>
      </c>
      <c r="F116" s="3" t="s">
        <v>22</v>
      </c>
      <c r="G116" s="3" t="s">
        <v>44</v>
      </c>
      <c r="H116" s="3" t="s">
        <v>495</v>
      </c>
      <c r="I116" s="4">
        <v>2022.0</v>
      </c>
      <c r="J116" s="5">
        <v>2024.0</v>
      </c>
      <c r="K116" s="6">
        <v>45416.0</v>
      </c>
      <c r="L116" s="3">
        <v>26.0</v>
      </c>
      <c r="M116" s="3" t="s">
        <v>55</v>
      </c>
      <c r="N116" s="7">
        <v>45557.0</v>
      </c>
      <c r="O116" s="3">
        <v>1.0</v>
      </c>
      <c r="P116">
        <f t="shared" si="12"/>
        <v>26</v>
      </c>
    </row>
    <row r="117">
      <c r="A117" s="3" t="s">
        <v>503</v>
      </c>
      <c r="B117" s="3">
        <v>2013.0</v>
      </c>
      <c r="C117" s="3" t="s">
        <v>504</v>
      </c>
      <c r="F117" s="3" t="s">
        <v>22</v>
      </c>
      <c r="G117" s="3" t="s">
        <v>44</v>
      </c>
      <c r="H117" s="3" t="s">
        <v>505</v>
      </c>
      <c r="I117" s="4">
        <v>2015.0</v>
      </c>
      <c r="J117" s="3">
        <v>2025.0</v>
      </c>
      <c r="K117" s="6">
        <v>43953.0</v>
      </c>
      <c r="M117" s="3" t="s">
        <v>25</v>
      </c>
      <c r="N117" s="10">
        <v>44190.0</v>
      </c>
      <c r="O117" s="3">
        <v>0.0</v>
      </c>
      <c r="P117">
        <f t="shared" si="12"/>
        <v>0</v>
      </c>
      <c r="Q117" s="7">
        <v>45373.0</v>
      </c>
      <c r="R117" s="3">
        <v>1.0</v>
      </c>
      <c r="S117" s="3" t="s">
        <v>506</v>
      </c>
    </row>
    <row r="118">
      <c r="A118" s="3" t="s">
        <v>507</v>
      </c>
      <c r="B118" s="3">
        <v>2015.0</v>
      </c>
      <c r="C118" s="3" t="s">
        <v>508</v>
      </c>
      <c r="F118" s="3" t="s">
        <v>29</v>
      </c>
      <c r="G118" s="3" t="s">
        <v>509</v>
      </c>
      <c r="I118" s="4">
        <v>2016.0</v>
      </c>
      <c r="J118" s="14">
        <v>2025.0</v>
      </c>
      <c r="K118" s="6">
        <v>44319.0</v>
      </c>
      <c r="L118" s="3">
        <v>12.9</v>
      </c>
      <c r="M118" s="3" t="s">
        <v>270</v>
      </c>
      <c r="N118" s="7">
        <v>44434.0</v>
      </c>
      <c r="O118" s="3">
        <v>3.0</v>
      </c>
      <c r="P118">
        <f t="shared" si="12"/>
        <v>38.7</v>
      </c>
      <c r="Q118" s="9" t="s">
        <v>510</v>
      </c>
      <c r="R118" s="9" t="s">
        <v>241</v>
      </c>
      <c r="S118" s="3" t="s">
        <v>511</v>
      </c>
    </row>
    <row r="119">
      <c r="A119" s="3" t="s">
        <v>492</v>
      </c>
      <c r="B119" s="3">
        <v>2015.0</v>
      </c>
      <c r="C119" s="3" t="s">
        <v>512</v>
      </c>
      <c r="F119" s="3" t="s">
        <v>29</v>
      </c>
      <c r="G119" s="3" t="s">
        <v>44</v>
      </c>
      <c r="H119" s="3" t="s">
        <v>205</v>
      </c>
      <c r="I119" s="4">
        <v>2017.0</v>
      </c>
      <c r="J119" s="3">
        <v>2025.0</v>
      </c>
      <c r="K119" s="6">
        <v>43955.0</v>
      </c>
      <c r="L119" s="3">
        <v>17.0</v>
      </c>
      <c r="M119" s="3" t="s">
        <v>55</v>
      </c>
      <c r="N119" s="7">
        <v>43876.0</v>
      </c>
      <c r="O119" s="3">
        <v>0.0</v>
      </c>
      <c r="P119" s="7"/>
      <c r="Q119" s="7">
        <v>45172.0</v>
      </c>
      <c r="R119" s="3">
        <v>3.5</v>
      </c>
      <c r="S119" s="3" t="s">
        <v>513</v>
      </c>
    </row>
    <row r="120">
      <c r="A120" s="3" t="s">
        <v>492</v>
      </c>
      <c r="B120" s="3">
        <v>2015.0</v>
      </c>
      <c r="C120" s="3" t="s">
        <v>186</v>
      </c>
      <c r="F120" s="3" t="s">
        <v>29</v>
      </c>
      <c r="G120" s="3" t="s">
        <v>44</v>
      </c>
      <c r="H120" s="3" t="s">
        <v>59</v>
      </c>
      <c r="I120" s="4">
        <v>2017.0</v>
      </c>
      <c r="J120" s="14">
        <v>2025.0</v>
      </c>
      <c r="K120" s="6">
        <v>43955.0</v>
      </c>
      <c r="L120" s="3">
        <v>16.0</v>
      </c>
      <c r="M120" s="3" t="s">
        <v>55</v>
      </c>
      <c r="N120" s="7">
        <v>44885.0</v>
      </c>
      <c r="O120" s="3">
        <v>0.0</v>
      </c>
      <c r="P120">
        <f>O120*L120</f>
        <v>0</v>
      </c>
      <c r="Q120" s="9" t="s">
        <v>514</v>
      </c>
      <c r="R120" s="9" t="s">
        <v>142</v>
      </c>
      <c r="S120" s="3" t="s">
        <v>515</v>
      </c>
    </row>
    <row r="121">
      <c r="A121" s="3" t="s">
        <v>516</v>
      </c>
      <c r="B121" s="3">
        <v>2015.0</v>
      </c>
      <c r="C121" s="3" t="s">
        <v>517</v>
      </c>
      <c r="F121" s="3" t="s">
        <v>29</v>
      </c>
      <c r="G121" s="3" t="s">
        <v>44</v>
      </c>
      <c r="H121" s="3" t="s">
        <v>59</v>
      </c>
      <c r="I121" s="4">
        <v>2017.0</v>
      </c>
      <c r="J121" s="3">
        <v>2025.0</v>
      </c>
      <c r="K121" s="6">
        <v>43589.0</v>
      </c>
      <c r="L121" s="3">
        <v>5.6</v>
      </c>
      <c r="M121" s="3" t="s">
        <v>147</v>
      </c>
      <c r="N121" s="7">
        <v>43112.0</v>
      </c>
      <c r="O121" s="3">
        <v>0.0</v>
      </c>
      <c r="P121" s="9"/>
      <c r="Q121" s="9" t="s">
        <v>518</v>
      </c>
      <c r="R121" s="9" t="s">
        <v>519</v>
      </c>
      <c r="S121" s="3" t="s">
        <v>520</v>
      </c>
    </row>
    <row r="122">
      <c r="A122" s="3" t="s">
        <v>521</v>
      </c>
      <c r="B122" s="3">
        <v>2015.0</v>
      </c>
      <c r="C122" s="3" t="s">
        <v>522</v>
      </c>
      <c r="E122" s="3" t="s">
        <v>110</v>
      </c>
      <c r="F122" s="3" t="s">
        <v>40</v>
      </c>
      <c r="G122" s="3" t="s">
        <v>23</v>
      </c>
      <c r="H122" s="3" t="s">
        <v>384</v>
      </c>
      <c r="I122" s="4">
        <v>2017.0</v>
      </c>
      <c r="J122" s="3">
        <v>2025.0</v>
      </c>
      <c r="K122" s="6">
        <v>43587.0</v>
      </c>
      <c r="L122" s="3">
        <v>16.8</v>
      </c>
      <c r="M122" s="3" t="s">
        <v>118</v>
      </c>
      <c r="N122" s="7">
        <v>43436.0</v>
      </c>
      <c r="O122" s="3">
        <v>0.0</v>
      </c>
      <c r="P122" s="12"/>
      <c r="Q122" s="12">
        <v>43504.0</v>
      </c>
      <c r="R122" s="9">
        <v>4.5</v>
      </c>
      <c r="S122" s="3" t="s">
        <v>523</v>
      </c>
    </row>
    <row r="123">
      <c r="A123" s="3" t="s">
        <v>226</v>
      </c>
      <c r="B123" s="3">
        <v>2015.0</v>
      </c>
      <c r="C123" s="3" t="s">
        <v>52</v>
      </c>
      <c r="D123" s="3" t="s">
        <v>227</v>
      </c>
      <c r="F123" s="3" t="s">
        <v>54</v>
      </c>
      <c r="G123" s="3" t="s">
        <v>52</v>
      </c>
      <c r="I123" s="4">
        <v>2017.0</v>
      </c>
      <c r="J123" s="14">
        <v>2025.0</v>
      </c>
      <c r="K123" s="6">
        <v>44686.0</v>
      </c>
      <c r="M123" s="3" t="s">
        <v>99</v>
      </c>
      <c r="N123" s="7">
        <v>44759.0</v>
      </c>
      <c r="O123" s="3">
        <v>1.0</v>
      </c>
      <c r="P123">
        <f t="shared" ref="P123:P124" si="13">O123*L123</f>
        <v>0</v>
      </c>
      <c r="Q123" s="12"/>
      <c r="R123" s="9"/>
    </row>
    <row r="124">
      <c r="A124" s="3" t="s">
        <v>524</v>
      </c>
      <c r="B124" s="3">
        <v>2015.0</v>
      </c>
      <c r="C124" s="3" t="s">
        <v>193</v>
      </c>
      <c r="D124" s="3" t="s">
        <v>525</v>
      </c>
      <c r="F124" s="3" t="s">
        <v>29</v>
      </c>
      <c r="G124" s="3" t="s">
        <v>163</v>
      </c>
      <c r="H124" s="3" t="s">
        <v>274</v>
      </c>
      <c r="I124" s="4">
        <v>2018.0</v>
      </c>
      <c r="J124" s="14">
        <v>2025.0</v>
      </c>
      <c r="K124" s="6">
        <v>43589.0</v>
      </c>
      <c r="M124" s="3" t="s">
        <v>94</v>
      </c>
      <c r="N124" s="10">
        <v>43750.0</v>
      </c>
      <c r="O124" s="3">
        <v>0.0</v>
      </c>
      <c r="P124">
        <f t="shared" si="13"/>
        <v>0</v>
      </c>
      <c r="Q124" s="12">
        <v>45934.0</v>
      </c>
      <c r="R124" s="9">
        <v>4.0</v>
      </c>
      <c r="S124" s="3" t="s">
        <v>526</v>
      </c>
    </row>
    <row r="125">
      <c r="A125" s="3" t="s">
        <v>160</v>
      </c>
      <c r="B125" s="3">
        <v>2015.0</v>
      </c>
      <c r="C125" s="3" t="s">
        <v>527</v>
      </c>
      <c r="D125" s="3" t="s">
        <v>168</v>
      </c>
      <c r="F125" s="3" t="s">
        <v>22</v>
      </c>
      <c r="G125" s="3" t="s">
        <v>163</v>
      </c>
      <c r="H125" s="3" t="s">
        <v>164</v>
      </c>
      <c r="I125" s="4">
        <v>2018.0</v>
      </c>
      <c r="J125" s="3">
        <v>2025.0</v>
      </c>
      <c r="K125" s="6">
        <v>43955.0</v>
      </c>
      <c r="M125" s="3" t="s">
        <v>165</v>
      </c>
      <c r="N125" s="7">
        <v>43945.0</v>
      </c>
      <c r="O125" s="3">
        <v>0.0</v>
      </c>
      <c r="P125" s="10"/>
      <c r="Q125" s="10">
        <v>44496.0</v>
      </c>
      <c r="R125" s="3">
        <v>5.0</v>
      </c>
      <c r="S125" s="3" t="s">
        <v>528</v>
      </c>
    </row>
    <row r="126">
      <c r="A126" s="3" t="s">
        <v>529</v>
      </c>
      <c r="B126" s="3">
        <v>2015.0</v>
      </c>
      <c r="C126" s="3" t="s">
        <v>232</v>
      </c>
      <c r="D126" s="3" t="s">
        <v>530</v>
      </c>
      <c r="F126" s="3" t="s">
        <v>29</v>
      </c>
      <c r="G126" s="3" t="s">
        <v>154</v>
      </c>
      <c r="H126" s="3" t="s">
        <v>234</v>
      </c>
      <c r="I126" s="4">
        <v>2018.0</v>
      </c>
      <c r="J126" s="14">
        <v>2025.0</v>
      </c>
      <c r="K126" s="6">
        <v>43590.0</v>
      </c>
      <c r="L126" s="3">
        <v>16.0</v>
      </c>
      <c r="M126" s="3" t="s">
        <v>130</v>
      </c>
      <c r="N126" s="7">
        <v>43202.0</v>
      </c>
      <c r="O126" s="3">
        <v>1.0</v>
      </c>
      <c r="P126">
        <f>O126*L126</f>
        <v>16</v>
      </c>
      <c r="Q126" s="9" t="s">
        <v>531</v>
      </c>
      <c r="R126" s="9" t="s">
        <v>532</v>
      </c>
      <c r="S126" s="3" t="s">
        <v>533</v>
      </c>
    </row>
    <row r="127">
      <c r="A127" s="3" t="s">
        <v>420</v>
      </c>
      <c r="B127" s="3">
        <v>2015.0</v>
      </c>
      <c r="C127" s="3" t="s">
        <v>193</v>
      </c>
      <c r="F127" s="3" t="s">
        <v>29</v>
      </c>
      <c r="G127" s="3" t="s">
        <v>163</v>
      </c>
      <c r="H127" s="3" t="s">
        <v>274</v>
      </c>
      <c r="I127" s="4">
        <v>2018.0</v>
      </c>
      <c r="J127" s="3">
        <v>2025.0</v>
      </c>
      <c r="K127" s="6">
        <v>43955.0</v>
      </c>
      <c r="M127" s="3" t="s">
        <v>99</v>
      </c>
      <c r="N127" s="7">
        <v>44030.0</v>
      </c>
      <c r="O127" s="3">
        <v>0.0</v>
      </c>
      <c r="P127" s="7"/>
      <c r="Q127" s="7">
        <v>45080.0</v>
      </c>
      <c r="R127" s="3">
        <v>3.5</v>
      </c>
      <c r="S127" s="3" t="s">
        <v>534</v>
      </c>
    </row>
    <row r="128">
      <c r="A128" s="3" t="s">
        <v>535</v>
      </c>
      <c r="B128" s="3">
        <v>2015.0</v>
      </c>
      <c r="C128" s="3" t="s">
        <v>232</v>
      </c>
      <c r="F128" s="3" t="s">
        <v>29</v>
      </c>
      <c r="G128" s="3" t="s">
        <v>154</v>
      </c>
      <c r="H128" s="3" t="s">
        <v>234</v>
      </c>
      <c r="I128" s="4">
        <v>2018.0</v>
      </c>
      <c r="J128" s="14">
        <v>2025.0</v>
      </c>
      <c r="K128" s="6">
        <v>43590.0</v>
      </c>
      <c r="L128" s="3">
        <v>24.0</v>
      </c>
      <c r="M128" s="3" t="s">
        <v>130</v>
      </c>
      <c r="N128" s="7">
        <v>43535.0</v>
      </c>
      <c r="O128" s="3">
        <v>1.0</v>
      </c>
      <c r="P128">
        <f>O128*L128</f>
        <v>24</v>
      </c>
      <c r="Q128" s="9" t="s">
        <v>536</v>
      </c>
      <c r="R128" s="9" t="s">
        <v>537</v>
      </c>
      <c r="S128" s="3" t="s">
        <v>538</v>
      </c>
    </row>
    <row r="129">
      <c r="A129" s="3" t="s">
        <v>539</v>
      </c>
      <c r="B129" s="3">
        <v>2015.0</v>
      </c>
      <c r="C129" s="3" t="s">
        <v>311</v>
      </c>
      <c r="D129" s="3" t="s">
        <v>540</v>
      </c>
      <c r="F129" s="3" t="s">
        <v>22</v>
      </c>
      <c r="G129" s="3" t="s">
        <v>129</v>
      </c>
      <c r="H129" s="3" t="s">
        <v>93</v>
      </c>
      <c r="I129" s="4">
        <v>2019.0</v>
      </c>
      <c r="J129" s="3">
        <v>2025.0</v>
      </c>
      <c r="K129" s="6">
        <v>43589.0</v>
      </c>
      <c r="L129" s="3">
        <v>20.5</v>
      </c>
      <c r="M129" s="3" t="s">
        <v>130</v>
      </c>
      <c r="N129" s="7">
        <v>43632.0</v>
      </c>
      <c r="O129" s="3">
        <v>0.0</v>
      </c>
      <c r="P129" s="9"/>
      <c r="Q129" s="9" t="s">
        <v>541</v>
      </c>
      <c r="R129" s="9" t="s">
        <v>542</v>
      </c>
      <c r="S129" s="3" t="s">
        <v>543</v>
      </c>
    </row>
    <row r="130">
      <c r="A130" s="3" t="s">
        <v>544</v>
      </c>
      <c r="B130" s="3">
        <v>2017.0</v>
      </c>
      <c r="C130" s="3" t="s">
        <v>545</v>
      </c>
      <c r="D130" s="3" t="s">
        <v>546</v>
      </c>
      <c r="E130" s="3"/>
      <c r="F130" s="3" t="s">
        <v>29</v>
      </c>
      <c r="G130" s="3" t="s">
        <v>330</v>
      </c>
      <c r="H130" s="3" t="s">
        <v>331</v>
      </c>
      <c r="I130" s="4">
        <v>2019.0</v>
      </c>
      <c r="J130" s="3">
        <v>2025.0</v>
      </c>
      <c r="K130" s="6">
        <v>43589.0</v>
      </c>
      <c r="L130" s="3">
        <v>12.0</v>
      </c>
      <c r="M130" s="3" t="s">
        <v>118</v>
      </c>
      <c r="N130" s="7">
        <v>43436.0</v>
      </c>
      <c r="O130" s="3">
        <v>0.0</v>
      </c>
      <c r="P130" s="9"/>
      <c r="Q130" s="9" t="s">
        <v>547</v>
      </c>
      <c r="R130" s="9" t="s">
        <v>548</v>
      </c>
      <c r="S130" s="3" t="s">
        <v>549</v>
      </c>
    </row>
    <row r="131">
      <c r="A131" s="18" t="s">
        <v>310</v>
      </c>
      <c r="B131" s="3">
        <v>2017.0</v>
      </c>
      <c r="C131" s="3" t="s">
        <v>550</v>
      </c>
      <c r="F131" s="3" t="s">
        <v>22</v>
      </c>
      <c r="G131" s="3" t="s">
        <v>129</v>
      </c>
      <c r="H131" s="3" t="s">
        <v>93</v>
      </c>
      <c r="I131" s="4">
        <v>2020.0</v>
      </c>
      <c r="J131" s="14">
        <v>2025.0</v>
      </c>
      <c r="K131" s="6">
        <v>44320.0</v>
      </c>
      <c r="L131" s="3">
        <v>21.45</v>
      </c>
      <c r="M131" s="3" t="s">
        <v>165</v>
      </c>
      <c r="N131" s="7">
        <v>44306.0</v>
      </c>
      <c r="O131" s="3">
        <v>1.0</v>
      </c>
      <c r="P131">
        <f>O131*L131</f>
        <v>21.45</v>
      </c>
      <c r="Q131" s="7">
        <v>44400.0</v>
      </c>
      <c r="R131" s="3">
        <v>4.0</v>
      </c>
      <c r="S131" s="3" t="s">
        <v>551</v>
      </c>
    </row>
    <row r="132">
      <c r="A132" s="3" t="s">
        <v>552</v>
      </c>
      <c r="B132" s="3">
        <v>2017.0</v>
      </c>
      <c r="C132" s="3" t="s">
        <v>254</v>
      </c>
      <c r="D132" s="3" t="s">
        <v>553</v>
      </c>
      <c r="E132" s="3" t="s">
        <v>128</v>
      </c>
      <c r="F132" s="3" t="s">
        <v>29</v>
      </c>
      <c r="G132" s="3" t="s">
        <v>129</v>
      </c>
      <c r="H132" s="3" t="s">
        <v>250</v>
      </c>
      <c r="I132" s="4">
        <v>2020.0</v>
      </c>
      <c r="J132" s="3">
        <v>2025.0</v>
      </c>
      <c r="K132" s="6">
        <v>43588.0</v>
      </c>
      <c r="L132" s="3">
        <v>23.0</v>
      </c>
      <c r="M132" s="3" t="s">
        <v>118</v>
      </c>
      <c r="N132" s="7">
        <v>43436.0</v>
      </c>
      <c r="O132" s="3">
        <v>0.0</v>
      </c>
      <c r="P132" s="9"/>
      <c r="Q132" s="9" t="s">
        <v>554</v>
      </c>
      <c r="R132" s="9" t="s">
        <v>142</v>
      </c>
      <c r="S132" s="3" t="s">
        <v>555</v>
      </c>
    </row>
    <row r="133">
      <c r="A133" s="3" t="s">
        <v>556</v>
      </c>
      <c r="B133" s="3">
        <v>2020.0</v>
      </c>
      <c r="C133" s="3" t="s">
        <v>557</v>
      </c>
      <c r="D133" s="3" t="s">
        <v>558</v>
      </c>
      <c r="F133" s="3" t="s">
        <v>29</v>
      </c>
      <c r="G133" s="3" t="s">
        <v>559</v>
      </c>
      <c r="I133" s="4">
        <v>2021.0</v>
      </c>
      <c r="J133" s="3">
        <v>2025.0</v>
      </c>
      <c r="L133" s="3">
        <v>5.99</v>
      </c>
      <c r="M133" s="3" t="s">
        <v>270</v>
      </c>
      <c r="N133" s="7">
        <v>44434.0</v>
      </c>
      <c r="O133" s="3">
        <v>0.0</v>
      </c>
      <c r="P133">
        <f t="shared" ref="P133:P134" si="14">O133*L133</f>
        <v>0</v>
      </c>
      <c r="Q133" s="9" t="s">
        <v>560</v>
      </c>
      <c r="R133" s="9" t="s">
        <v>561</v>
      </c>
      <c r="S133" s="3" t="s">
        <v>562</v>
      </c>
    </row>
    <row r="134">
      <c r="A134" s="3" t="s">
        <v>563</v>
      </c>
      <c r="B134" s="3">
        <v>2019.0</v>
      </c>
      <c r="C134" s="3" t="s">
        <v>135</v>
      </c>
      <c r="D134" s="3" t="s">
        <v>564</v>
      </c>
      <c r="E134" s="3" t="s">
        <v>565</v>
      </c>
      <c r="F134" s="3" t="s">
        <v>29</v>
      </c>
      <c r="G134" s="3" t="s">
        <v>138</v>
      </c>
      <c r="H134" s="3" t="s">
        <v>139</v>
      </c>
      <c r="I134" s="4">
        <v>2021.0</v>
      </c>
      <c r="J134" s="14">
        <v>2025.0</v>
      </c>
      <c r="K134" s="6">
        <v>45415.0</v>
      </c>
      <c r="L134" s="3">
        <v>15.9</v>
      </c>
      <c r="M134" s="3" t="s">
        <v>184</v>
      </c>
      <c r="N134" s="10">
        <v>45289.0</v>
      </c>
      <c r="O134" s="3">
        <v>2.0</v>
      </c>
      <c r="P134">
        <f t="shared" si="14"/>
        <v>31.8</v>
      </c>
    </row>
    <row r="135">
      <c r="A135" s="3" t="s">
        <v>566</v>
      </c>
      <c r="B135" s="3">
        <v>2020.0</v>
      </c>
      <c r="C135" s="3" t="s">
        <v>161</v>
      </c>
      <c r="D135" s="3" t="s">
        <v>270</v>
      </c>
      <c r="F135" s="3" t="s">
        <v>22</v>
      </c>
      <c r="G135" s="3" t="s">
        <v>163</v>
      </c>
      <c r="H135" s="3" t="s">
        <v>567</v>
      </c>
      <c r="I135" s="4">
        <v>2022.0</v>
      </c>
      <c r="J135" s="3">
        <v>2025.0</v>
      </c>
      <c r="K135" s="6">
        <v>44320.0</v>
      </c>
      <c r="L135" s="3">
        <v>19.95</v>
      </c>
      <c r="M135" s="3" t="s">
        <v>270</v>
      </c>
      <c r="N135" s="10">
        <v>44512.0</v>
      </c>
      <c r="O135" s="3">
        <v>0.0</v>
      </c>
      <c r="P135" s="9"/>
      <c r="Q135" s="9" t="s">
        <v>568</v>
      </c>
      <c r="R135" s="9" t="s">
        <v>569</v>
      </c>
      <c r="S135" s="3" t="s">
        <v>570</v>
      </c>
    </row>
    <row r="136">
      <c r="A136" s="3" t="s">
        <v>571</v>
      </c>
      <c r="B136" s="3">
        <v>2020.0</v>
      </c>
      <c r="C136" s="3" t="s">
        <v>329</v>
      </c>
      <c r="F136" s="3" t="s">
        <v>29</v>
      </c>
      <c r="G136" s="3" t="s">
        <v>330</v>
      </c>
      <c r="H136" s="3" t="s">
        <v>331</v>
      </c>
      <c r="I136" s="4">
        <v>2022.0</v>
      </c>
      <c r="J136" s="14">
        <v>2025.0</v>
      </c>
      <c r="K136" s="6">
        <v>44320.0</v>
      </c>
      <c r="L136" s="3">
        <v>10.0</v>
      </c>
      <c r="M136" s="3" t="s">
        <v>118</v>
      </c>
      <c r="N136" s="7">
        <v>44531.0</v>
      </c>
      <c r="O136" s="3">
        <v>1.0</v>
      </c>
      <c r="P136">
        <f t="shared" ref="P136:P137" si="15">O136*L136</f>
        <v>10</v>
      </c>
      <c r="Q136" s="7">
        <v>45056.0</v>
      </c>
      <c r="R136" s="3">
        <v>3.5</v>
      </c>
      <c r="S136" s="3" t="s">
        <v>572</v>
      </c>
    </row>
    <row r="137">
      <c r="A137" s="3" t="s">
        <v>284</v>
      </c>
      <c r="B137" s="3">
        <v>2020.0</v>
      </c>
      <c r="C137" s="3" t="s">
        <v>285</v>
      </c>
      <c r="D137" s="3" t="s">
        <v>286</v>
      </c>
      <c r="F137" s="3" t="s">
        <v>29</v>
      </c>
      <c r="G137" s="3" t="s">
        <v>71</v>
      </c>
      <c r="H137" s="3" t="s">
        <v>287</v>
      </c>
      <c r="I137" s="4">
        <v>2022.0</v>
      </c>
      <c r="J137" s="14">
        <v>2025.0</v>
      </c>
      <c r="K137" s="6">
        <v>45051.0</v>
      </c>
      <c r="L137" s="3">
        <v>11.6</v>
      </c>
      <c r="M137" s="3" t="s">
        <v>288</v>
      </c>
      <c r="N137" s="7">
        <v>45101.0</v>
      </c>
      <c r="O137" s="3">
        <v>1.0</v>
      </c>
      <c r="P137">
        <f t="shared" si="15"/>
        <v>11.6</v>
      </c>
    </row>
    <row r="138">
      <c r="A138" s="3" t="s">
        <v>465</v>
      </c>
      <c r="B138" s="3">
        <v>2021.0</v>
      </c>
      <c r="C138" s="3" t="s">
        <v>330</v>
      </c>
      <c r="D138" s="3" t="s">
        <v>573</v>
      </c>
      <c r="F138" s="3" t="s">
        <v>22</v>
      </c>
      <c r="G138" s="3" t="s">
        <v>330</v>
      </c>
      <c r="H138" s="3" t="s">
        <v>93</v>
      </c>
      <c r="I138" s="4">
        <v>2022.0</v>
      </c>
      <c r="J138" s="3">
        <v>2025.0</v>
      </c>
      <c r="K138" s="6">
        <v>44684.0</v>
      </c>
      <c r="L138" s="3">
        <v>8.5</v>
      </c>
      <c r="M138" s="3" t="s">
        <v>99</v>
      </c>
      <c r="N138" s="7">
        <v>44793.0</v>
      </c>
      <c r="O138" s="3">
        <v>0.0</v>
      </c>
      <c r="P138" s="9"/>
      <c r="Q138" s="9" t="s">
        <v>574</v>
      </c>
      <c r="R138" s="9" t="s">
        <v>575</v>
      </c>
      <c r="S138" s="3" t="s">
        <v>576</v>
      </c>
    </row>
    <row r="139">
      <c r="A139" s="3" t="s">
        <v>465</v>
      </c>
      <c r="B139" s="9">
        <v>2021.0</v>
      </c>
      <c r="C139" s="3" t="s">
        <v>330</v>
      </c>
      <c r="D139" s="3" t="s">
        <v>577</v>
      </c>
      <c r="F139" s="3" t="s">
        <v>29</v>
      </c>
      <c r="G139" s="3" t="s">
        <v>330</v>
      </c>
      <c r="H139" s="3" t="s">
        <v>331</v>
      </c>
      <c r="I139" s="4">
        <v>2022.0</v>
      </c>
      <c r="J139" s="14">
        <v>2025.0</v>
      </c>
      <c r="K139" s="6">
        <v>44685.0</v>
      </c>
      <c r="L139" s="3">
        <v>9.6</v>
      </c>
      <c r="M139" s="3" t="s">
        <v>99</v>
      </c>
      <c r="N139" s="7">
        <v>44793.0</v>
      </c>
      <c r="O139" s="3">
        <v>1.0</v>
      </c>
      <c r="P139">
        <f t="shared" ref="P139:P146" si="16">O139*L139</f>
        <v>9.6</v>
      </c>
    </row>
    <row r="140">
      <c r="A140" s="3" t="s">
        <v>578</v>
      </c>
      <c r="B140" s="3">
        <v>2020.0</v>
      </c>
      <c r="C140" s="3" t="s">
        <v>292</v>
      </c>
      <c r="D140" s="3" t="s">
        <v>579</v>
      </c>
      <c r="F140" s="3" t="s">
        <v>29</v>
      </c>
      <c r="G140" s="3" t="s">
        <v>163</v>
      </c>
      <c r="H140" s="3" t="s">
        <v>472</v>
      </c>
      <c r="I140" s="4">
        <v>2022.0</v>
      </c>
      <c r="J140" s="14">
        <v>2025.0</v>
      </c>
      <c r="K140" s="6">
        <v>45050.0</v>
      </c>
      <c r="L140" s="3">
        <v>17.8</v>
      </c>
      <c r="M140" s="3" t="s">
        <v>473</v>
      </c>
      <c r="N140" s="7">
        <v>45115.0</v>
      </c>
      <c r="O140" s="3">
        <v>1.0</v>
      </c>
      <c r="P140">
        <f t="shared" si="16"/>
        <v>17.8</v>
      </c>
    </row>
    <row r="141">
      <c r="A141" s="3" t="s">
        <v>578</v>
      </c>
      <c r="B141" s="3">
        <v>2020.0</v>
      </c>
      <c r="C141" s="3" t="s">
        <v>292</v>
      </c>
      <c r="D141" s="3" t="s">
        <v>580</v>
      </c>
      <c r="F141" s="3" t="s">
        <v>22</v>
      </c>
      <c r="G141" s="3" t="s">
        <v>163</v>
      </c>
      <c r="H141" s="3" t="s">
        <v>293</v>
      </c>
      <c r="I141" s="4">
        <v>2022.0</v>
      </c>
      <c r="J141" s="14">
        <v>2025.0</v>
      </c>
      <c r="K141" s="6">
        <v>45050.0</v>
      </c>
      <c r="L141" s="3">
        <v>17.8</v>
      </c>
      <c r="M141" s="3" t="s">
        <v>473</v>
      </c>
      <c r="N141" s="7">
        <v>45115.0</v>
      </c>
      <c r="O141" s="3">
        <v>0.0</v>
      </c>
      <c r="P141">
        <f t="shared" si="16"/>
        <v>0</v>
      </c>
      <c r="Q141" s="9" t="s">
        <v>581</v>
      </c>
      <c r="R141" s="9" t="s">
        <v>107</v>
      </c>
      <c r="S141" s="3" t="s">
        <v>582</v>
      </c>
    </row>
    <row r="142">
      <c r="A142" s="3" t="s">
        <v>583</v>
      </c>
      <c r="B142" s="3">
        <v>2020.0</v>
      </c>
      <c r="C142" s="3" t="s">
        <v>329</v>
      </c>
      <c r="D142" s="3" t="s">
        <v>584</v>
      </c>
      <c r="F142" s="3" t="s">
        <v>29</v>
      </c>
      <c r="G142" s="3" t="s">
        <v>330</v>
      </c>
      <c r="H142" s="3" t="s">
        <v>331</v>
      </c>
      <c r="I142" s="4">
        <v>2022.0</v>
      </c>
      <c r="J142" s="14">
        <v>2025.0</v>
      </c>
      <c r="K142" s="6">
        <v>45781.0</v>
      </c>
      <c r="L142" s="3">
        <v>14.0</v>
      </c>
      <c r="M142" s="3" t="s">
        <v>118</v>
      </c>
      <c r="N142" s="7">
        <v>45739.0</v>
      </c>
      <c r="O142" s="3">
        <v>0.0</v>
      </c>
      <c r="P142">
        <f t="shared" si="16"/>
        <v>0</v>
      </c>
      <c r="Q142" s="9" t="s">
        <v>585</v>
      </c>
      <c r="R142" s="9" t="s">
        <v>586</v>
      </c>
      <c r="S142" s="3" t="s">
        <v>587</v>
      </c>
    </row>
    <row r="143">
      <c r="A143" s="3" t="s">
        <v>588</v>
      </c>
      <c r="B143" s="3">
        <v>2020.0</v>
      </c>
      <c r="C143" s="3" t="s">
        <v>589</v>
      </c>
      <c r="D143" s="3" t="s">
        <v>590</v>
      </c>
      <c r="F143" s="3" t="s">
        <v>29</v>
      </c>
      <c r="G143" s="3" t="s">
        <v>84</v>
      </c>
      <c r="H143" s="3" t="s">
        <v>430</v>
      </c>
      <c r="I143" s="4">
        <v>2022.0</v>
      </c>
      <c r="J143" s="3">
        <v>2025.0</v>
      </c>
      <c r="K143" s="6">
        <v>44685.0</v>
      </c>
      <c r="L143" s="3">
        <v>6.99</v>
      </c>
      <c r="M143" s="3" t="s">
        <v>184</v>
      </c>
      <c r="N143" s="7">
        <v>44608.0</v>
      </c>
      <c r="O143" s="3">
        <v>0.0</v>
      </c>
      <c r="P143">
        <f t="shared" si="16"/>
        <v>0</v>
      </c>
      <c r="Q143" s="9" t="s">
        <v>591</v>
      </c>
      <c r="R143" s="9" t="s">
        <v>592</v>
      </c>
      <c r="S143" s="3" t="s">
        <v>593</v>
      </c>
    </row>
    <row r="144">
      <c r="A144" s="3" t="s">
        <v>81</v>
      </c>
      <c r="B144" s="3">
        <v>2020.0</v>
      </c>
      <c r="C144" s="3" t="s">
        <v>82</v>
      </c>
      <c r="D144" s="3" t="s">
        <v>83</v>
      </c>
      <c r="F144" s="3" t="s">
        <v>29</v>
      </c>
      <c r="G144" s="3" t="s">
        <v>84</v>
      </c>
      <c r="H144" s="11" t="s">
        <v>85</v>
      </c>
      <c r="I144" s="4">
        <v>2022.0</v>
      </c>
      <c r="J144" s="14">
        <v>2025.0</v>
      </c>
      <c r="K144" s="6">
        <v>44685.0</v>
      </c>
      <c r="L144" s="3">
        <v>22.0</v>
      </c>
      <c r="M144" s="3" t="s">
        <v>55</v>
      </c>
      <c r="N144" s="10">
        <v>44885.0</v>
      </c>
      <c r="O144" s="3">
        <v>1.0</v>
      </c>
      <c r="P144">
        <f t="shared" si="16"/>
        <v>22</v>
      </c>
    </row>
    <row r="145">
      <c r="A145" s="3" t="s">
        <v>81</v>
      </c>
      <c r="B145" s="3">
        <v>2020.0</v>
      </c>
      <c r="C145" s="3" t="s">
        <v>82</v>
      </c>
      <c r="D145" s="3" t="s">
        <v>207</v>
      </c>
      <c r="F145" s="3" t="s">
        <v>29</v>
      </c>
      <c r="G145" s="3" t="s">
        <v>84</v>
      </c>
      <c r="H145" s="11" t="s">
        <v>85</v>
      </c>
      <c r="I145" s="4">
        <v>2022.0</v>
      </c>
      <c r="J145" s="14">
        <v>2025.0</v>
      </c>
      <c r="K145" s="6">
        <v>44685.0</v>
      </c>
      <c r="L145" s="3">
        <v>14.0</v>
      </c>
      <c r="M145" s="3" t="s">
        <v>55</v>
      </c>
      <c r="N145" s="10">
        <v>45249.0</v>
      </c>
      <c r="O145" s="3">
        <v>1.0</v>
      </c>
      <c r="P145">
        <f t="shared" si="16"/>
        <v>14</v>
      </c>
    </row>
    <row r="146">
      <c r="A146" s="3" t="s">
        <v>594</v>
      </c>
      <c r="B146" s="3">
        <v>2020.0</v>
      </c>
      <c r="C146" s="3" t="s">
        <v>403</v>
      </c>
      <c r="D146" s="3" t="s">
        <v>595</v>
      </c>
      <c r="F146" s="3" t="s">
        <v>22</v>
      </c>
      <c r="G146" s="3" t="s">
        <v>129</v>
      </c>
      <c r="H146" s="3" t="s">
        <v>93</v>
      </c>
      <c r="I146" s="4">
        <v>2022.0</v>
      </c>
      <c r="J146" s="14">
        <v>2025.0</v>
      </c>
      <c r="K146" s="6">
        <v>45782.0</v>
      </c>
      <c r="L146" s="3">
        <v>23.0</v>
      </c>
      <c r="M146" s="3" t="s">
        <v>118</v>
      </c>
      <c r="N146" s="7">
        <v>45739.0</v>
      </c>
      <c r="O146" s="3">
        <v>1.0</v>
      </c>
      <c r="P146">
        <f t="shared" si="16"/>
        <v>23</v>
      </c>
      <c r="Q146" s="7">
        <v>45870.0</v>
      </c>
      <c r="R146" s="3">
        <v>4.0</v>
      </c>
      <c r="S146" s="3" t="s">
        <v>596</v>
      </c>
    </row>
    <row r="147">
      <c r="A147" s="3" t="s">
        <v>597</v>
      </c>
      <c r="B147" s="3">
        <v>2020.0</v>
      </c>
      <c r="C147" s="3" t="s">
        <v>292</v>
      </c>
      <c r="D147" s="3" t="s">
        <v>598</v>
      </c>
      <c r="E147" s="3" t="s">
        <v>83</v>
      </c>
      <c r="F147" s="3" t="s">
        <v>29</v>
      </c>
      <c r="G147" s="3" t="s">
        <v>163</v>
      </c>
      <c r="H147" s="3" t="s">
        <v>472</v>
      </c>
      <c r="I147" s="4">
        <v>2022.0</v>
      </c>
      <c r="J147" s="3">
        <v>2025.0</v>
      </c>
      <c r="K147" s="6">
        <v>45050.0</v>
      </c>
      <c r="L147" s="3">
        <v>8.5</v>
      </c>
      <c r="M147" s="3" t="s">
        <v>178</v>
      </c>
      <c r="N147" s="7">
        <v>45115.0</v>
      </c>
      <c r="O147" s="3">
        <v>0.0</v>
      </c>
      <c r="P147" s="7"/>
      <c r="Q147" s="7">
        <v>45202.0</v>
      </c>
      <c r="R147" s="3">
        <v>4.0</v>
      </c>
      <c r="S147" s="3" t="s">
        <v>599</v>
      </c>
    </row>
    <row r="148">
      <c r="A148" s="3" t="s">
        <v>600</v>
      </c>
      <c r="B148" s="3">
        <v>2020.0</v>
      </c>
      <c r="C148" s="3" t="s">
        <v>292</v>
      </c>
      <c r="D148" s="3" t="s">
        <v>601</v>
      </c>
      <c r="F148" s="3" t="s">
        <v>29</v>
      </c>
      <c r="G148" s="3" t="s">
        <v>163</v>
      </c>
      <c r="H148" s="3" t="s">
        <v>472</v>
      </c>
      <c r="I148" s="4">
        <v>2022.0</v>
      </c>
      <c r="J148" s="14">
        <v>2025.0</v>
      </c>
      <c r="K148" s="6">
        <v>45050.0</v>
      </c>
      <c r="L148" s="3">
        <v>18.6</v>
      </c>
      <c r="M148" s="3" t="s">
        <v>473</v>
      </c>
      <c r="N148" s="7">
        <v>45115.0</v>
      </c>
      <c r="O148" s="3">
        <v>1.0</v>
      </c>
      <c r="P148">
        <f>O148*L148</f>
        <v>18.6</v>
      </c>
    </row>
    <row r="149">
      <c r="A149" s="3" t="s">
        <v>602</v>
      </c>
      <c r="B149" s="3">
        <v>2020.0</v>
      </c>
      <c r="C149" s="3" t="s">
        <v>603</v>
      </c>
      <c r="D149" s="3" t="s">
        <v>604</v>
      </c>
      <c r="F149" s="3" t="s">
        <v>29</v>
      </c>
      <c r="G149" s="3" t="s">
        <v>605</v>
      </c>
      <c r="I149" s="4">
        <v>2022.0</v>
      </c>
      <c r="J149" s="3">
        <v>2025.0</v>
      </c>
      <c r="K149" s="6">
        <v>45049.0</v>
      </c>
      <c r="L149" s="3">
        <v>22.0</v>
      </c>
      <c r="M149" s="3" t="s">
        <v>606</v>
      </c>
      <c r="N149" s="7">
        <v>45003.0</v>
      </c>
      <c r="O149" s="3">
        <v>0.0</v>
      </c>
      <c r="P149" s="7"/>
      <c r="Q149" s="7">
        <v>45199.0</v>
      </c>
      <c r="R149" s="3">
        <v>3.5</v>
      </c>
      <c r="S149" s="3" t="s">
        <v>607</v>
      </c>
    </row>
    <row r="150">
      <c r="A150" s="3" t="s">
        <v>325</v>
      </c>
      <c r="B150" s="3">
        <v>2020.0</v>
      </c>
      <c r="C150" s="3" t="s">
        <v>161</v>
      </c>
      <c r="D150" s="3" t="s">
        <v>608</v>
      </c>
      <c r="F150" s="3" t="s">
        <v>22</v>
      </c>
      <c r="G150" s="3" t="s">
        <v>163</v>
      </c>
      <c r="H150" s="3" t="s">
        <v>164</v>
      </c>
      <c r="I150" s="4">
        <v>2022.0</v>
      </c>
      <c r="J150" s="3">
        <v>2025.0</v>
      </c>
      <c r="K150" s="6">
        <v>44685.0</v>
      </c>
      <c r="L150" s="3">
        <v>21.0</v>
      </c>
      <c r="M150" s="3" t="s">
        <v>118</v>
      </c>
      <c r="N150" s="10">
        <v>44888.0</v>
      </c>
      <c r="O150" s="3">
        <v>0.0</v>
      </c>
      <c r="P150" s="7"/>
      <c r="Q150" s="7">
        <v>45178.0</v>
      </c>
      <c r="R150" s="3">
        <v>4.5</v>
      </c>
      <c r="S150" s="3" t="s">
        <v>609</v>
      </c>
    </row>
    <row r="151">
      <c r="A151" s="3" t="s">
        <v>610</v>
      </c>
      <c r="B151" s="3">
        <v>2020.0</v>
      </c>
      <c r="C151" s="3" t="s">
        <v>198</v>
      </c>
      <c r="F151" s="3" t="s">
        <v>22</v>
      </c>
      <c r="G151" s="3" t="s">
        <v>64</v>
      </c>
      <c r="H151" s="3" t="s">
        <v>24</v>
      </c>
      <c r="I151" s="4">
        <v>2022.0</v>
      </c>
      <c r="J151" s="3">
        <v>2025.0</v>
      </c>
      <c r="K151" s="6">
        <v>45416.0</v>
      </c>
      <c r="L151" s="3">
        <v>12.9</v>
      </c>
      <c r="M151" s="3" t="s">
        <v>611</v>
      </c>
      <c r="N151" s="7">
        <v>44620.0</v>
      </c>
      <c r="O151" s="3">
        <v>0.0</v>
      </c>
      <c r="P151">
        <f>O151*L151</f>
        <v>0</v>
      </c>
      <c r="Q151" s="7">
        <v>45712.0</v>
      </c>
      <c r="R151" s="3">
        <v>3.5</v>
      </c>
      <c r="S151" s="3" t="s">
        <v>612</v>
      </c>
    </row>
    <row r="152">
      <c r="A152" s="3" t="s">
        <v>613</v>
      </c>
      <c r="B152" s="3">
        <v>2020.0</v>
      </c>
      <c r="C152" s="3" t="s">
        <v>614</v>
      </c>
      <c r="D152" s="3" t="s">
        <v>615</v>
      </c>
      <c r="F152" s="3" t="s">
        <v>29</v>
      </c>
      <c r="G152" s="3" t="s">
        <v>154</v>
      </c>
      <c r="H152" s="3" t="s">
        <v>616</v>
      </c>
      <c r="I152" s="4">
        <v>2022.0</v>
      </c>
      <c r="J152" s="3">
        <v>2025.0</v>
      </c>
      <c r="K152" s="6">
        <v>44685.0</v>
      </c>
      <c r="L152" s="3">
        <v>7.5</v>
      </c>
      <c r="M152" s="3" t="s">
        <v>94</v>
      </c>
      <c r="N152" s="7">
        <v>44821.0</v>
      </c>
      <c r="O152" s="3">
        <v>0.0</v>
      </c>
      <c r="P152" s="7"/>
      <c r="Q152" s="7">
        <v>44988.0</v>
      </c>
      <c r="R152" s="3">
        <v>2.5</v>
      </c>
      <c r="S152" s="3" t="s">
        <v>617</v>
      </c>
    </row>
    <row r="153">
      <c r="A153" s="3" t="s">
        <v>400</v>
      </c>
      <c r="B153" s="3">
        <v>2020.0</v>
      </c>
      <c r="C153" s="3" t="s">
        <v>403</v>
      </c>
      <c r="F153" s="3" t="s">
        <v>22</v>
      </c>
      <c r="G153" s="3" t="s">
        <v>129</v>
      </c>
      <c r="H153" s="3" t="s">
        <v>93</v>
      </c>
      <c r="I153" s="4">
        <v>2022.0</v>
      </c>
      <c r="J153" s="3">
        <v>2025.0</v>
      </c>
      <c r="K153" s="6">
        <v>45050.0</v>
      </c>
      <c r="L153" s="3">
        <v>16.0</v>
      </c>
      <c r="M153" s="3" t="s">
        <v>55</v>
      </c>
      <c r="N153" s="7">
        <v>45186.0</v>
      </c>
      <c r="O153" s="3">
        <v>0.0</v>
      </c>
      <c r="P153" s="7"/>
      <c r="Q153" s="7">
        <v>45268.0</v>
      </c>
      <c r="R153" s="3">
        <v>3.5</v>
      </c>
      <c r="S153" s="3" t="s">
        <v>618</v>
      </c>
    </row>
    <row r="154">
      <c r="A154" s="3" t="s">
        <v>492</v>
      </c>
      <c r="B154" s="3">
        <v>2022.0</v>
      </c>
      <c r="C154" s="3" t="s">
        <v>493</v>
      </c>
      <c r="D154" s="3" t="s">
        <v>619</v>
      </c>
      <c r="F154" s="3" t="s">
        <v>22</v>
      </c>
      <c r="G154" s="3" t="s">
        <v>44</v>
      </c>
      <c r="H154" s="3" t="s">
        <v>495</v>
      </c>
      <c r="I154" s="4">
        <v>2023.0</v>
      </c>
      <c r="J154" s="14">
        <v>2025.0</v>
      </c>
      <c r="L154" s="3">
        <v>14.0</v>
      </c>
      <c r="M154" s="3" t="s">
        <v>55</v>
      </c>
      <c r="N154" s="7">
        <v>45557.0</v>
      </c>
      <c r="O154" s="3">
        <v>0.0</v>
      </c>
      <c r="P154">
        <f t="shared" ref="P154:P156" si="17">O154*L154</f>
        <v>0</v>
      </c>
      <c r="Q154" s="7">
        <v>45794.0</v>
      </c>
      <c r="R154" s="3">
        <v>3.5</v>
      </c>
      <c r="S154" s="3" t="s">
        <v>620</v>
      </c>
    </row>
    <row r="155">
      <c r="A155" s="3" t="s">
        <v>81</v>
      </c>
      <c r="B155" s="3">
        <v>2022.0</v>
      </c>
      <c r="C155" s="3" t="s">
        <v>217</v>
      </c>
      <c r="D155" s="3" t="s">
        <v>621</v>
      </c>
      <c r="F155" s="3" t="s">
        <v>29</v>
      </c>
      <c r="G155" s="3" t="s">
        <v>84</v>
      </c>
      <c r="H155" s="3" t="s">
        <v>622</v>
      </c>
      <c r="I155" s="4">
        <v>2023.0</v>
      </c>
      <c r="J155" s="14">
        <v>2025.0</v>
      </c>
      <c r="L155" s="3">
        <v>12.0</v>
      </c>
      <c r="M155" s="3" t="s">
        <v>55</v>
      </c>
      <c r="N155" s="10">
        <v>45249.0</v>
      </c>
      <c r="O155" s="3">
        <v>1.0</v>
      </c>
      <c r="P155">
        <f t="shared" si="17"/>
        <v>12</v>
      </c>
    </row>
    <row r="156">
      <c r="A156" s="3" t="s">
        <v>492</v>
      </c>
      <c r="B156" s="3">
        <v>2016.0</v>
      </c>
      <c r="C156" s="3" t="s">
        <v>512</v>
      </c>
      <c r="D156" s="3"/>
      <c r="F156" s="3" t="s">
        <v>29</v>
      </c>
      <c r="G156" s="3" t="s">
        <v>44</v>
      </c>
      <c r="H156" s="3" t="s">
        <v>205</v>
      </c>
      <c r="I156" s="4">
        <v>2018.0</v>
      </c>
      <c r="J156" s="3">
        <v>2026.0</v>
      </c>
      <c r="K156" s="6">
        <v>44686.0</v>
      </c>
      <c r="L156" s="3">
        <v>20.0</v>
      </c>
      <c r="M156" s="3" t="s">
        <v>55</v>
      </c>
      <c r="N156" s="7">
        <v>44885.0</v>
      </c>
      <c r="O156" s="3">
        <v>0.0</v>
      </c>
      <c r="P156">
        <f t="shared" si="17"/>
        <v>0</v>
      </c>
      <c r="Q156" s="12">
        <v>45931.0</v>
      </c>
      <c r="R156" s="9">
        <v>2.5</v>
      </c>
      <c r="S156" s="3" t="s">
        <v>623</v>
      </c>
    </row>
    <row r="157">
      <c r="A157" s="3" t="s">
        <v>624</v>
      </c>
      <c r="B157" s="3">
        <v>2016.0</v>
      </c>
      <c r="C157" s="3" t="s">
        <v>625</v>
      </c>
      <c r="F157" s="3" t="s">
        <v>29</v>
      </c>
      <c r="G157" s="3" t="s">
        <v>84</v>
      </c>
      <c r="H157" s="3" t="s">
        <v>447</v>
      </c>
      <c r="I157" s="4">
        <v>2018.0</v>
      </c>
      <c r="J157" s="3">
        <v>2026.0</v>
      </c>
      <c r="K157" s="6">
        <v>43589.0</v>
      </c>
      <c r="L157" s="3">
        <v>6.0</v>
      </c>
      <c r="M157" s="3" t="s">
        <v>156</v>
      </c>
      <c r="N157" s="7">
        <v>43134.0</v>
      </c>
      <c r="O157" s="3">
        <v>0.0</v>
      </c>
      <c r="P157" s="9"/>
      <c r="Q157" s="9" t="s">
        <v>626</v>
      </c>
      <c r="R157" s="9" t="s">
        <v>627</v>
      </c>
      <c r="S157" s="3" t="s">
        <v>628</v>
      </c>
    </row>
    <row r="158">
      <c r="A158" s="3" t="s">
        <v>629</v>
      </c>
      <c r="B158" s="3">
        <v>2014.0</v>
      </c>
      <c r="C158" s="3" t="s">
        <v>630</v>
      </c>
      <c r="F158" s="3" t="s">
        <v>29</v>
      </c>
      <c r="G158" s="3" t="s">
        <v>44</v>
      </c>
      <c r="H158" s="3" t="s">
        <v>59</v>
      </c>
      <c r="I158" s="4">
        <v>2018.0</v>
      </c>
      <c r="J158" s="3">
        <v>2026.0</v>
      </c>
      <c r="K158" s="6">
        <v>43588.0</v>
      </c>
      <c r="L158" s="3">
        <v>6.95</v>
      </c>
      <c r="M158" s="3" t="s">
        <v>147</v>
      </c>
      <c r="N158" s="10">
        <v>43092.0</v>
      </c>
      <c r="O158" s="3">
        <v>0.0</v>
      </c>
      <c r="P158" s="12"/>
      <c r="Q158" s="12">
        <v>44467.0</v>
      </c>
      <c r="R158" s="9">
        <v>0.0</v>
      </c>
      <c r="S158" s="3" t="s">
        <v>631</v>
      </c>
    </row>
    <row r="159">
      <c r="A159" s="3" t="s">
        <v>632</v>
      </c>
      <c r="B159" s="3">
        <v>2016.0</v>
      </c>
      <c r="C159" s="3" t="s">
        <v>625</v>
      </c>
      <c r="D159" s="19" t="s">
        <v>383</v>
      </c>
      <c r="F159" s="3" t="s">
        <v>29</v>
      </c>
      <c r="G159" s="3" t="s">
        <v>84</v>
      </c>
      <c r="H159" s="3" t="s">
        <v>447</v>
      </c>
      <c r="I159" s="4">
        <v>2018.0</v>
      </c>
      <c r="J159" s="3">
        <v>2026.0</v>
      </c>
      <c r="K159" s="6">
        <v>43589.0</v>
      </c>
      <c r="L159" s="3">
        <v>5.95</v>
      </c>
      <c r="M159" s="3" t="s">
        <v>147</v>
      </c>
      <c r="N159" s="7">
        <v>43144.0</v>
      </c>
      <c r="O159" s="3">
        <v>0.0</v>
      </c>
      <c r="P159" s="9"/>
      <c r="Q159" s="9" t="s">
        <v>633</v>
      </c>
      <c r="R159" s="9" t="s">
        <v>634</v>
      </c>
      <c r="S159" s="3" t="s">
        <v>635</v>
      </c>
    </row>
    <row r="160">
      <c r="A160" s="3" t="s">
        <v>160</v>
      </c>
      <c r="B160" s="3">
        <v>2016.0</v>
      </c>
      <c r="C160" s="3" t="s">
        <v>527</v>
      </c>
      <c r="D160" s="3" t="s">
        <v>636</v>
      </c>
      <c r="F160" s="3" t="s">
        <v>22</v>
      </c>
      <c r="G160" s="3" t="s">
        <v>163</v>
      </c>
      <c r="H160" s="3" t="s">
        <v>164</v>
      </c>
      <c r="I160" s="4">
        <v>2019.0</v>
      </c>
      <c r="J160" s="3">
        <v>2026.0</v>
      </c>
      <c r="K160" s="6">
        <v>43954.0</v>
      </c>
      <c r="M160" s="3" t="s">
        <v>165</v>
      </c>
      <c r="N160" s="7">
        <v>43945.0</v>
      </c>
      <c r="O160" s="3">
        <v>0.0</v>
      </c>
      <c r="P160" s="10"/>
      <c r="Q160" s="10">
        <v>44882.0</v>
      </c>
      <c r="S160" s="3" t="s">
        <v>637</v>
      </c>
    </row>
    <row r="161">
      <c r="A161" s="3" t="s">
        <v>638</v>
      </c>
      <c r="B161" s="3">
        <v>2018.0</v>
      </c>
      <c r="C161" s="3" t="s">
        <v>545</v>
      </c>
      <c r="D161" s="3" t="s">
        <v>639</v>
      </c>
      <c r="F161" s="3" t="s">
        <v>29</v>
      </c>
      <c r="G161" s="3" t="s">
        <v>330</v>
      </c>
      <c r="H161" s="3" t="s">
        <v>331</v>
      </c>
      <c r="I161" s="4">
        <v>2020.0</v>
      </c>
      <c r="J161" s="3">
        <v>2026.0</v>
      </c>
      <c r="K161" s="6">
        <v>44321.0</v>
      </c>
      <c r="L161" s="3">
        <v>14.9</v>
      </c>
      <c r="M161" s="3" t="s">
        <v>270</v>
      </c>
      <c r="N161" s="10">
        <v>44512.0</v>
      </c>
      <c r="O161" s="3">
        <v>1.0</v>
      </c>
      <c r="P161">
        <f>O161*L161</f>
        <v>14.9</v>
      </c>
      <c r="Q161" s="9" t="s">
        <v>640</v>
      </c>
      <c r="R161" s="9" t="s">
        <v>641</v>
      </c>
      <c r="S161" s="3" t="s">
        <v>642</v>
      </c>
    </row>
    <row r="162">
      <c r="A162" s="3" t="s">
        <v>400</v>
      </c>
      <c r="B162" s="3">
        <v>2018.0</v>
      </c>
      <c r="C162" s="3" t="s">
        <v>401</v>
      </c>
      <c r="D162" s="3" t="s">
        <v>643</v>
      </c>
      <c r="F162" s="3" t="s">
        <v>22</v>
      </c>
      <c r="G162" s="3" t="s">
        <v>129</v>
      </c>
      <c r="H162" s="3" t="s">
        <v>93</v>
      </c>
      <c r="I162" s="4">
        <v>2020.0</v>
      </c>
      <c r="J162" s="3">
        <v>2026.0</v>
      </c>
      <c r="K162" s="6">
        <v>44685.0</v>
      </c>
      <c r="L162" s="3">
        <v>13.0</v>
      </c>
      <c r="M162" s="3" t="s">
        <v>99</v>
      </c>
      <c r="N162" s="10">
        <v>44885.0</v>
      </c>
      <c r="O162" s="3">
        <v>0.0</v>
      </c>
      <c r="P162" s="7"/>
      <c r="Q162" s="7">
        <v>44896.0</v>
      </c>
      <c r="R162" s="3">
        <v>3.5</v>
      </c>
      <c r="S162" s="3" t="s">
        <v>644</v>
      </c>
    </row>
    <row r="163">
      <c r="A163" s="3" t="s">
        <v>400</v>
      </c>
      <c r="B163" s="3">
        <v>2018.0</v>
      </c>
      <c r="C163" s="3" t="s">
        <v>401</v>
      </c>
      <c r="D163" s="3" t="s">
        <v>643</v>
      </c>
      <c r="F163" s="3" t="s">
        <v>22</v>
      </c>
      <c r="G163" s="3" t="s">
        <v>129</v>
      </c>
      <c r="H163" s="3" t="s">
        <v>93</v>
      </c>
      <c r="I163" s="4">
        <v>2020.0</v>
      </c>
      <c r="J163" s="3">
        <v>2026.0</v>
      </c>
      <c r="K163" s="6">
        <v>45050.0</v>
      </c>
      <c r="L163" s="3">
        <v>14.0</v>
      </c>
      <c r="M163" s="3" t="s">
        <v>55</v>
      </c>
      <c r="N163" s="7">
        <v>45186.0</v>
      </c>
      <c r="O163" s="3">
        <v>0.0</v>
      </c>
      <c r="P163" s="7"/>
      <c r="Q163" s="7">
        <v>45197.0</v>
      </c>
      <c r="R163" s="3">
        <v>3.5</v>
      </c>
      <c r="S163" s="3" t="s">
        <v>645</v>
      </c>
    </row>
    <row r="164">
      <c r="A164" s="3" t="s">
        <v>646</v>
      </c>
      <c r="B164" s="3">
        <v>2018.0</v>
      </c>
      <c r="C164" s="3" t="s">
        <v>545</v>
      </c>
      <c r="D164" s="3" t="s">
        <v>647</v>
      </c>
      <c r="F164" s="3" t="s">
        <v>29</v>
      </c>
      <c r="G164" s="3" t="s">
        <v>330</v>
      </c>
      <c r="H164" s="3" t="s">
        <v>331</v>
      </c>
      <c r="I164" s="4">
        <v>2020.0</v>
      </c>
      <c r="J164" s="3">
        <v>2026.0</v>
      </c>
      <c r="K164" s="6">
        <v>43956.0</v>
      </c>
      <c r="L164" s="3">
        <v>9.7</v>
      </c>
      <c r="M164" s="3" t="s">
        <v>190</v>
      </c>
      <c r="N164" s="7">
        <v>44107.0</v>
      </c>
      <c r="O164" s="3">
        <v>1.0</v>
      </c>
      <c r="P164">
        <f>O164*L164</f>
        <v>9.7</v>
      </c>
      <c r="Q164" s="9" t="s">
        <v>648</v>
      </c>
      <c r="R164" s="9" t="s">
        <v>649</v>
      </c>
      <c r="S164" s="3" t="s">
        <v>650</v>
      </c>
    </row>
    <row r="165">
      <c r="A165" s="3" t="s">
        <v>651</v>
      </c>
      <c r="B165" s="3">
        <v>2019.0</v>
      </c>
      <c r="C165" s="3" t="s">
        <v>652</v>
      </c>
      <c r="D165" s="3" t="s">
        <v>653</v>
      </c>
      <c r="F165" s="3" t="s">
        <v>22</v>
      </c>
      <c r="G165" s="3" t="s">
        <v>129</v>
      </c>
      <c r="H165" s="3" t="s">
        <v>93</v>
      </c>
      <c r="I165" s="4">
        <v>2021.0</v>
      </c>
      <c r="J165" s="3">
        <v>2026.0</v>
      </c>
      <c r="K165" s="6">
        <v>44685.0</v>
      </c>
      <c r="L165" s="3">
        <v>10.4</v>
      </c>
      <c r="M165" s="3" t="s">
        <v>118</v>
      </c>
      <c r="N165" s="7">
        <v>44640.0</v>
      </c>
      <c r="O165" s="3">
        <v>0.0</v>
      </c>
      <c r="P165" s="9"/>
      <c r="Q165" s="9" t="s">
        <v>654</v>
      </c>
      <c r="R165" s="9" t="s">
        <v>142</v>
      </c>
      <c r="S165" s="3" t="s">
        <v>655</v>
      </c>
    </row>
    <row r="166">
      <c r="A166" s="3" t="s">
        <v>656</v>
      </c>
      <c r="B166" s="3">
        <v>2018.0</v>
      </c>
      <c r="C166" s="3" t="s">
        <v>254</v>
      </c>
      <c r="D166" s="3" t="s">
        <v>657</v>
      </c>
      <c r="F166" s="3" t="s">
        <v>29</v>
      </c>
      <c r="G166" s="3" t="s">
        <v>129</v>
      </c>
      <c r="H166" s="3" t="s">
        <v>250</v>
      </c>
      <c r="I166" s="4">
        <v>2021.0</v>
      </c>
      <c r="J166" s="3">
        <v>2026.0</v>
      </c>
      <c r="K166" s="6">
        <v>44319.0</v>
      </c>
      <c r="M166" s="3" t="s">
        <v>499</v>
      </c>
      <c r="N166" s="7">
        <v>44309.0</v>
      </c>
      <c r="O166" s="3">
        <v>1.0</v>
      </c>
      <c r="P166">
        <f>O166*L166</f>
        <v>0</v>
      </c>
    </row>
    <row r="167">
      <c r="A167" s="3" t="s">
        <v>658</v>
      </c>
      <c r="B167" s="3">
        <v>2018.0</v>
      </c>
      <c r="C167" s="3" t="s">
        <v>257</v>
      </c>
      <c r="D167" s="3" t="s">
        <v>659</v>
      </c>
      <c r="F167" s="3" t="s">
        <v>29</v>
      </c>
      <c r="G167" s="3" t="s">
        <v>129</v>
      </c>
      <c r="H167" s="3" t="s">
        <v>250</v>
      </c>
      <c r="I167" s="4">
        <v>2021.0</v>
      </c>
      <c r="J167" s="3">
        <v>2026.0</v>
      </c>
      <c r="K167" s="6">
        <v>44321.0</v>
      </c>
      <c r="M167" s="3" t="s">
        <v>660</v>
      </c>
      <c r="N167" s="7">
        <v>44502.0</v>
      </c>
      <c r="O167" s="3">
        <v>0.0</v>
      </c>
      <c r="P167" s="7"/>
      <c r="Q167" s="7">
        <v>44975.0</v>
      </c>
      <c r="R167" s="3">
        <v>3.5</v>
      </c>
      <c r="S167" s="3" t="s">
        <v>661</v>
      </c>
    </row>
    <row r="168">
      <c r="A168" s="3" t="s">
        <v>432</v>
      </c>
      <c r="B168" s="3">
        <v>2019.0</v>
      </c>
      <c r="C168" s="3" t="s">
        <v>662</v>
      </c>
      <c r="F168" s="3" t="s">
        <v>22</v>
      </c>
      <c r="G168" s="3" t="s">
        <v>434</v>
      </c>
      <c r="H168" s="3" t="s">
        <v>435</v>
      </c>
      <c r="I168" s="4">
        <v>2021.0</v>
      </c>
      <c r="J168" s="3">
        <v>2026.0</v>
      </c>
      <c r="L168" s="3">
        <v>25.5</v>
      </c>
      <c r="M168" s="3" t="s">
        <v>184</v>
      </c>
      <c r="N168" s="7">
        <v>44608.0</v>
      </c>
      <c r="O168" s="3">
        <v>1.0</v>
      </c>
      <c r="P168">
        <f t="shared" ref="P168:P169" si="18">O168*L168</f>
        <v>25.5</v>
      </c>
      <c r="Q168" s="9" t="s">
        <v>663</v>
      </c>
      <c r="R168" s="9" t="s">
        <v>664</v>
      </c>
      <c r="S168" s="3" t="s">
        <v>665</v>
      </c>
    </row>
    <row r="169">
      <c r="A169" s="3" t="s">
        <v>666</v>
      </c>
      <c r="B169" s="3">
        <v>2021.0</v>
      </c>
      <c r="C169" s="3" t="s">
        <v>667</v>
      </c>
      <c r="D169" s="3" t="s">
        <v>668</v>
      </c>
      <c r="F169" s="3" t="s">
        <v>29</v>
      </c>
      <c r="G169" s="3" t="s">
        <v>84</v>
      </c>
      <c r="H169" s="3" t="s">
        <v>669</v>
      </c>
      <c r="I169" s="4">
        <v>2022.0</v>
      </c>
      <c r="J169" s="3">
        <v>2026.0</v>
      </c>
      <c r="L169" s="3">
        <v>19.0</v>
      </c>
      <c r="M169" s="3" t="s">
        <v>670</v>
      </c>
      <c r="N169" s="10">
        <v>44892.0</v>
      </c>
      <c r="O169" s="3">
        <v>1.0</v>
      </c>
      <c r="P169">
        <f t="shared" si="18"/>
        <v>19</v>
      </c>
      <c r="Q169" s="7">
        <v>45870.0</v>
      </c>
      <c r="R169" s="3">
        <v>0.0</v>
      </c>
      <c r="S169" s="3" t="s">
        <v>671</v>
      </c>
    </row>
    <row r="170">
      <c r="A170" s="3" t="s">
        <v>672</v>
      </c>
      <c r="B170" s="3">
        <v>2021.0</v>
      </c>
      <c r="C170" s="3" t="s">
        <v>567</v>
      </c>
      <c r="D170" s="3" t="s">
        <v>673</v>
      </c>
      <c r="F170" s="3" t="s">
        <v>22</v>
      </c>
      <c r="G170" s="3" t="s">
        <v>674</v>
      </c>
      <c r="H170" s="3" t="s">
        <v>567</v>
      </c>
      <c r="I170" s="4">
        <v>2022.0</v>
      </c>
      <c r="J170" s="3">
        <v>2026.0</v>
      </c>
      <c r="L170" s="3">
        <v>15.0</v>
      </c>
      <c r="M170" s="3" t="s">
        <v>675</v>
      </c>
      <c r="N170" s="7">
        <v>45000.0</v>
      </c>
      <c r="O170" s="3">
        <v>0.0</v>
      </c>
      <c r="P170" s="7"/>
      <c r="Q170" s="7">
        <v>45030.0</v>
      </c>
      <c r="R170" s="3">
        <v>4.0</v>
      </c>
      <c r="S170" s="3" t="s">
        <v>676</v>
      </c>
    </row>
    <row r="171">
      <c r="A171" s="3" t="s">
        <v>677</v>
      </c>
      <c r="B171" s="3">
        <v>2020.0</v>
      </c>
      <c r="C171" s="3" t="s">
        <v>373</v>
      </c>
      <c r="D171" s="3" t="s">
        <v>374</v>
      </c>
      <c r="F171" s="3" t="s">
        <v>29</v>
      </c>
      <c r="G171" s="3" t="s">
        <v>163</v>
      </c>
      <c r="H171" s="3" t="s">
        <v>250</v>
      </c>
      <c r="I171" s="4">
        <v>2022.0</v>
      </c>
      <c r="J171" s="3">
        <v>2026.0</v>
      </c>
      <c r="K171" s="6">
        <v>45050.0</v>
      </c>
      <c r="L171" s="3">
        <v>17.5</v>
      </c>
      <c r="M171" s="3" t="s">
        <v>55</v>
      </c>
      <c r="N171" s="10">
        <v>45249.0</v>
      </c>
      <c r="O171" s="3">
        <v>0.0</v>
      </c>
      <c r="P171">
        <f t="shared" ref="P171:P178" si="19">O171*L171</f>
        <v>0</v>
      </c>
      <c r="Q171" s="7">
        <v>45417.0</v>
      </c>
      <c r="R171" s="3">
        <v>4.0</v>
      </c>
      <c r="S171" s="3" t="s">
        <v>678</v>
      </c>
    </row>
    <row r="172">
      <c r="A172" s="3" t="s">
        <v>679</v>
      </c>
      <c r="B172" s="3">
        <v>2021.0</v>
      </c>
      <c r="C172" s="3" t="s">
        <v>311</v>
      </c>
      <c r="D172" s="3" t="s">
        <v>540</v>
      </c>
      <c r="F172" s="3" t="s">
        <v>22</v>
      </c>
      <c r="G172" s="3" t="s">
        <v>129</v>
      </c>
      <c r="H172" s="3" t="s">
        <v>93</v>
      </c>
      <c r="I172" s="4">
        <v>2023.0</v>
      </c>
      <c r="J172" s="3">
        <v>2026.0</v>
      </c>
      <c r="K172" s="6">
        <v>44684.0</v>
      </c>
      <c r="L172" s="3">
        <v>23.5</v>
      </c>
      <c r="M172" s="3" t="s">
        <v>118</v>
      </c>
      <c r="N172" s="7">
        <v>45263.0</v>
      </c>
      <c r="O172" s="3">
        <v>0.0</v>
      </c>
      <c r="P172">
        <f t="shared" si="19"/>
        <v>0</v>
      </c>
      <c r="Q172" s="9" t="s">
        <v>680</v>
      </c>
      <c r="R172" s="9" t="s">
        <v>142</v>
      </c>
      <c r="S172" s="3" t="s">
        <v>681</v>
      </c>
    </row>
    <row r="173">
      <c r="A173" s="3" t="s">
        <v>682</v>
      </c>
      <c r="B173" s="3">
        <v>2021.0</v>
      </c>
      <c r="C173" s="3" t="s">
        <v>603</v>
      </c>
      <c r="D173" s="3" t="s">
        <v>683</v>
      </c>
      <c r="F173" s="3" t="s">
        <v>29</v>
      </c>
      <c r="G173" s="3" t="s">
        <v>605</v>
      </c>
      <c r="I173" s="4">
        <v>2023.0</v>
      </c>
      <c r="J173" s="3">
        <v>2026.0</v>
      </c>
      <c r="L173" s="3">
        <v>17.5</v>
      </c>
      <c r="M173" s="3" t="s">
        <v>606</v>
      </c>
      <c r="N173" s="7">
        <v>45003.0</v>
      </c>
      <c r="O173" s="3">
        <v>1.0</v>
      </c>
      <c r="P173">
        <f t="shared" si="19"/>
        <v>17.5</v>
      </c>
    </row>
    <row r="174">
      <c r="A174" s="3" t="s">
        <v>684</v>
      </c>
      <c r="B174" s="3">
        <v>2021.0</v>
      </c>
      <c r="C174" s="3" t="s">
        <v>311</v>
      </c>
      <c r="D174" s="3" t="s">
        <v>685</v>
      </c>
      <c r="F174" s="3" t="s">
        <v>22</v>
      </c>
      <c r="G174" s="3" t="s">
        <v>129</v>
      </c>
      <c r="H174" s="3" t="s">
        <v>93</v>
      </c>
      <c r="I174" s="4">
        <v>2023.0</v>
      </c>
      <c r="J174" s="3">
        <v>2026.0</v>
      </c>
      <c r="K174" s="6">
        <v>44684.0</v>
      </c>
      <c r="L174" s="3">
        <v>21.0</v>
      </c>
      <c r="M174" s="3" t="s">
        <v>118</v>
      </c>
      <c r="N174" s="10">
        <v>44888.0</v>
      </c>
      <c r="O174" s="3">
        <v>1.0</v>
      </c>
      <c r="P174">
        <f t="shared" si="19"/>
        <v>21</v>
      </c>
      <c r="Q174" s="10">
        <v>45291.0</v>
      </c>
      <c r="R174" s="3">
        <v>4.0</v>
      </c>
      <c r="S174" s="3" t="s">
        <v>686</v>
      </c>
    </row>
    <row r="175">
      <c r="A175" s="3" t="s">
        <v>687</v>
      </c>
      <c r="B175" s="3">
        <v>2021.0</v>
      </c>
      <c r="C175" s="3" t="s">
        <v>688</v>
      </c>
      <c r="D175" s="3" t="s">
        <v>689</v>
      </c>
      <c r="F175" s="3" t="s">
        <v>22</v>
      </c>
      <c r="G175" s="3" t="s">
        <v>690</v>
      </c>
      <c r="H175" s="3" t="s">
        <v>691</v>
      </c>
      <c r="I175" s="4">
        <v>2023.0</v>
      </c>
      <c r="J175" s="3">
        <v>2026.0</v>
      </c>
      <c r="M175" s="3" t="s">
        <v>79</v>
      </c>
      <c r="N175" s="7">
        <v>44736.0</v>
      </c>
      <c r="O175" s="3">
        <v>0.0</v>
      </c>
      <c r="P175">
        <f t="shared" si="19"/>
        <v>0</v>
      </c>
      <c r="Q175" s="7">
        <v>45821.0</v>
      </c>
      <c r="R175" s="3">
        <v>1.5</v>
      </c>
      <c r="S175" s="3" t="s">
        <v>692</v>
      </c>
    </row>
    <row r="176">
      <c r="A176" s="3" t="s">
        <v>693</v>
      </c>
      <c r="B176" s="3">
        <v>2021.0</v>
      </c>
      <c r="C176" s="3" t="s">
        <v>161</v>
      </c>
      <c r="D176" s="3" t="s">
        <v>694</v>
      </c>
      <c r="F176" s="3" t="s">
        <v>22</v>
      </c>
      <c r="G176" s="3" t="s">
        <v>163</v>
      </c>
      <c r="H176" s="3" t="s">
        <v>164</v>
      </c>
      <c r="I176" s="4">
        <v>2023.0</v>
      </c>
      <c r="J176" s="3">
        <v>2026.0</v>
      </c>
      <c r="K176" s="6">
        <v>44684.0</v>
      </c>
      <c r="L176" s="3">
        <v>16.5</v>
      </c>
      <c r="M176" s="3" t="s">
        <v>270</v>
      </c>
      <c r="N176" s="10">
        <v>45213.0</v>
      </c>
      <c r="O176" s="3">
        <v>0.0</v>
      </c>
      <c r="P176">
        <f t="shared" si="19"/>
        <v>0</v>
      </c>
      <c r="Q176" s="9" t="s">
        <v>695</v>
      </c>
      <c r="R176" s="9" t="s">
        <v>696</v>
      </c>
      <c r="S176" s="3" t="s">
        <v>697</v>
      </c>
    </row>
    <row r="177">
      <c r="A177" s="3" t="s">
        <v>325</v>
      </c>
      <c r="B177" s="3">
        <v>2021.0</v>
      </c>
      <c r="C177" s="3" t="s">
        <v>161</v>
      </c>
      <c r="D177" s="3" t="s">
        <v>698</v>
      </c>
      <c r="F177" s="3" t="s">
        <v>22</v>
      </c>
      <c r="G177" s="3" t="s">
        <v>163</v>
      </c>
      <c r="H177" s="3" t="s">
        <v>164</v>
      </c>
      <c r="I177" s="4">
        <v>2023.0</v>
      </c>
      <c r="J177" s="3">
        <v>2026.0</v>
      </c>
      <c r="K177" s="6">
        <v>44684.0</v>
      </c>
      <c r="L177" s="3">
        <v>16.9</v>
      </c>
      <c r="M177" s="3" t="s">
        <v>118</v>
      </c>
      <c r="N177" s="10">
        <v>44888.0</v>
      </c>
      <c r="O177" s="3">
        <v>0.0</v>
      </c>
      <c r="P177">
        <f t="shared" si="19"/>
        <v>0</v>
      </c>
      <c r="Q177" s="7">
        <v>45920.0</v>
      </c>
      <c r="R177" s="3">
        <v>4.0</v>
      </c>
      <c r="S177" s="3" t="s">
        <v>699</v>
      </c>
    </row>
    <row r="178">
      <c r="A178" s="3" t="s">
        <v>325</v>
      </c>
      <c r="B178" s="3">
        <v>2021.0</v>
      </c>
      <c r="C178" s="3" t="s">
        <v>161</v>
      </c>
      <c r="F178" s="3" t="s">
        <v>22</v>
      </c>
      <c r="G178" s="3" t="s">
        <v>163</v>
      </c>
      <c r="H178" s="3" t="s">
        <v>164</v>
      </c>
      <c r="I178" s="4">
        <v>2023.0</v>
      </c>
      <c r="J178" s="3">
        <v>2026.0</v>
      </c>
      <c r="K178" s="6">
        <v>45049.0</v>
      </c>
      <c r="L178" s="3">
        <v>15.2</v>
      </c>
      <c r="M178" s="3" t="s">
        <v>118</v>
      </c>
      <c r="N178" s="10">
        <v>45259.0</v>
      </c>
      <c r="O178" s="3">
        <v>0.0</v>
      </c>
      <c r="P178">
        <f t="shared" si="19"/>
        <v>0</v>
      </c>
      <c r="Q178" s="9" t="s">
        <v>700</v>
      </c>
      <c r="R178" s="9" t="s">
        <v>548</v>
      </c>
      <c r="S178" s="3" t="s">
        <v>701</v>
      </c>
    </row>
    <row r="179">
      <c r="A179" s="3" t="s">
        <v>503</v>
      </c>
      <c r="B179" s="3">
        <v>2009.0</v>
      </c>
      <c r="C179" s="3" t="s">
        <v>504</v>
      </c>
      <c r="F179" s="3" t="s">
        <v>29</v>
      </c>
      <c r="G179" s="3" t="s">
        <v>44</v>
      </c>
      <c r="H179" s="3" t="s">
        <v>702</v>
      </c>
      <c r="I179" s="4">
        <v>2013.0</v>
      </c>
      <c r="J179" s="3">
        <v>2027.0</v>
      </c>
      <c r="K179" s="6">
        <v>43956.0</v>
      </c>
      <c r="M179" s="3" t="s">
        <v>25</v>
      </c>
      <c r="N179" s="10">
        <v>44190.0</v>
      </c>
      <c r="O179" s="3">
        <v>0.0</v>
      </c>
      <c r="P179" s="7"/>
      <c r="Q179" s="7">
        <v>45178.0</v>
      </c>
      <c r="R179" s="3">
        <v>0.0</v>
      </c>
      <c r="S179" s="3" t="s">
        <v>703</v>
      </c>
    </row>
    <row r="180">
      <c r="A180" s="3" t="s">
        <v>704</v>
      </c>
      <c r="B180" s="3">
        <v>2012.0</v>
      </c>
      <c r="C180" s="3" t="s">
        <v>705</v>
      </c>
      <c r="F180" s="3" t="s">
        <v>29</v>
      </c>
      <c r="G180" s="3" t="s">
        <v>44</v>
      </c>
      <c r="H180" s="3" t="s">
        <v>706</v>
      </c>
      <c r="I180" s="4">
        <v>2017.0</v>
      </c>
      <c r="J180" s="3">
        <v>2027.0</v>
      </c>
      <c r="K180" s="6">
        <v>43954.0</v>
      </c>
      <c r="L180" s="3">
        <v>16.9</v>
      </c>
      <c r="M180" s="3" t="s">
        <v>235</v>
      </c>
      <c r="N180" s="7">
        <v>44107.0</v>
      </c>
      <c r="O180" s="3">
        <v>0.0</v>
      </c>
      <c r="P180">
        <f t="shared" ref="P180:P181" si="20">O180*L180</f>
        <v>0</v>
      </c>
      <c r="Q180" s="9" t="s">
        <v>707</v>
      </c>
      <c r="R180" s="9" t="s">
        <v>74</v>
      </c>
      <c r="S180" s="3" t="s">
        <v>708</v>
      </c>
    </row>
    <row r="181">
      <c r="A181" s="3" t="s">
        <v>492</v>
      </c>
      <c r="B181" s="3">
        <v>2017.0</v>
      </c>
      <c r="C181" s="3" t="s">
        <v>512</v>
      </c>
      <c r="F181" s="3" t="s">
        <v>29</v>
      </c>
      <c r="G181" s="3" t="s">
        <v>44</v>
      </c>
      <c r="H181" s="3" t="s">
        <v>205</v>
      </c>
      <c r="I181" s="4">
        <v>2019.0</v>
      </c>
      <c r="J181" s="3">
        <v>2027.0</v>
      </c>
      <c r="K181" s="6">
        <v>45416.0</v>
      </c>
      <c r="L181" s="3">
        <v>18.0</v>
      </c>
      <c r="M181" s="3" t="s">
        <v>55</v>
      </c>
      <c r="N181" s="7">
        <v>45557.0</v>
      </c>
      <c r="O181" s="3">
        <v>0.0</v>
      </c>
      <c r="P181">
        <f t="shared" si="20"/>
        <v>0</v>
      </c>
      <c r="Q181" s="7">
        <v>45933.0</v>
      </c>
      <c r="R181" s="3">
        <v>3.5</v>
      </c>
      <c r="S181" s="3" t="s">
        <v>709</v>
      </c>
    </row>
    <row r="182">
      <c r="A182" s="3" t="s">
        <v>710</v>
      </c>
      <c r="B182" s="3">
        <v>2017.0</v>
      </c>
      <c r="C182" s="3" t="s">
        <v>193</v>
      </c>
      <c r="D182" s="3" t="s">
        <v>711</v>
      </c>
      <c r="F182" s="3" t="s">
        <v>29</v>
      </c>
      <c r="G182" s="3" t="s">
        <v>163</v>
      </c>
      <c r="H182" s="3" t="s">
        <v>274</v>
      </c>
      <c r="I182" s="4">
        <v>2020.0</v>
      </c>
      <c r="J182" s="3">
        <v>2027.0</v>
      </c>
      <c r="K182" s="6"/>
      <c r="L182" s="3">
        <v>6.8</v>
      </c>
      <c r="M182" s="3" t="s">
        <v>99</v>
      </c>
      <c r="N182" s="7">
        <v>43617.0</v>
      </c>
      <c r="O182" s="3">
        <v>0.0</v>
      </c>
      <c r="P182" s="9"/>
      <c r="Q182" s="9" t="s">
        <v>712</v>
      </c>
      <c r="R182" s="9" t="s">
        <v>276</v>
      </c>
      <c r="S182" s="3" t="s">
        <v>713</v>
      </c>
    </row>
    <row r="183">
      <c r="A183" s="3" t="s">
        <v>710</v>
      </c>
      <c r="B183" s="3">
        <v>2017.0</v>
      </c>
      <c r="C183" s="3" t="s">
        <v>193</v>
      </c>
      <c r="D183" s="3" t="s">
        <v>714</v>
      </c>
      <c r="F183" s="3" t="s">
        <v>29</v>
      </c>
      <c r="G183" s="3" t="s">
        <v>163</v>
      </c>
      <c r="H183" s="3" t="s">
        <v>274</v>
      </c>
      <c r="I183" s="4">
        <v>2020.0</v>
      </c>
      <c r="J183" s="3">
        <v>2027.0</v>
      </c>
      <c r="K183" s="6">
        <v>43589.0</v>
      </c>
      <c r="L183" s="3">
        <v>14.0</v>
      </c>
      <c r="M183" s="3" t="s">
        <v>99</v>
      </c>
      <c r="N183" s="7">
        <v>43617.0</v>
      </c>
      <c r="O183" s="3">
        <v>0.0</v>
      </c>
      <c r="P183" s="9"/>
      <c r="Q183" s="9" t="s">
        <v>715</v>
      </c>
      <c r="R183" s="9" t="s">
        <v>142</v>
      </c>
      <c r="S183" s="3" t="s">
        <v>716</v>
      </c>
    </row>
    <row r="184">
      <c r="A184" s="3" t="s">
        <v>160</v>
      </c>
      <c r="B184" s="3">
        <v>2017.0</v>
      </c>
      <c r="C184" s="3" t="s">
        <v>527</v>
      </c>
      <c r="D184" s="3" t="s">
        <v>717</v>
      </c>
      <c r="F184" s="3" t="s">
        <v>22</v>
      </c>
      <c r="G184" s="3" t="s">
        <v>163</v>
      </c>
      <c r="H184" s="3" t="s">
        <v>164</v>
      </c>
      <c r="I184" s="4">
        <v>2020.0</v>
      </c>
      <c r="J184" s="3">
        <v>2027.0</v>
      </c>
      <c r="K184" s="6">
        <v>43589.0</v>
      </c>
      <c r="L184" s="3">
        <v>11.65</v>
      </c>
      <c r="M184" s="3" t="s">
        <v>130</v>
      </c>
      <c r="N184" s="7">
        <v>43647.0</v>
      </c>
      <c r="O184" s="3">
        <v>0.0</v>
      </c>
      <c r="P184" s="9"/>
      <c r="Q184" s="9" t="s">
        <v>718</v>
      </c>
      <c r="R184" s="9" t="s">
        <v>241</v>
      </c>
      <c r="S184" s="3" t="s">
        <v>719</v>
      </c>
    </row>
    <row r="185">
      <c r="A185" s="3" t="s">
        <v>420</v>
      </c>
      <c r="B185" s="3">
        <v>2017.0</v>
      </c>
      <c r="C185" s="3" t="s">
        <v>193</v>
      </c>
      <c r="F185" s="3" t="s">
        <v>29</v>
      </c>
      <c r="G185" s="3" t="s">
        <v>163</v>
      </c>
      <c r="H185" s="3" t="s">
        <v>274</v>
      </c>
      <c r="I185" s="4">
        <v>2020.0</v>
      </c>
      <c r="J185" s="3">
        <v>2027.0</v>
      </c>
      <c r="K185" s="6">
        <v>43955.0</v>
      </c>
      <c r="M185" s="3" t="s">
        <v>99</v>
      </c>
      <c r="N185" s="7">
        <v>44030.0</v>
      </c>
      <c r="O185" s="3">
        <v>0.0</v>
      </c>
      <c r="P185" s="9"/>
      <c r="Q185" s="9" t="s">
        <v>720</v>
      </c>
      <c r="R185" s="9" t="s">
        <v>721</v>
      </c>
      <c r="S185" s="3" t="s">
        <v>722</v>
      </c>
    </row>
    <row r="186">
      <c r="A186" s="3" t="s">
        <v>723</v>
      </c>
      <c r="B186" s="3">
        <v>2017.0</v>
      </c>
      <c r="C186" s="3" t="s">
        <v>724</v>
      </c>
      <c r="F186" s="3" t="s">
        <v>29</v>
      </c>
      <c r="G186" s="3" t="s">
        <v>129</v>
      </c>
      <c r="H186" s="3" t="s">
        <v>250</v>
      </c>
      <c r="I186" s="4">
        <v>2020.0</v>
      </c>
      <c r="J186" s="3">
        <v>2027.0</v>
      </c>
      <c r="K186" s="6">
        <v>43954.0</v>
      </c>
      <c r="L186" s="3">
        <v>22.5</v>
      </c>
      <c r="M186" s="3" t="s">
        <v>99</v>
      </c>
      <c r="N186" s="10">
        <v>43798.0</v>
      </c>
      <c r="O186" s="3">
        <v>0.0</v>
      </c>
      <c r="P186" s="12"/>
      <c r="Q186" s="12">
        <v>44827.0</v>
      </c>
      <c r="R186" s="9">
        <v>4.5</v>
      </c>
      <c r="S186" s="3" t="s">
        <v>725</v>
      </c>
    </row>
    <row r="187">
      <c r="A187" s="3" t="s">
        <v>723</v>
      </c>
      <c r="B187" s="3">
        <v>2017.0</v>
      </c>
      <c r="C187" s="3" t="s">
        <v>724</v>
      </c>
      <c r="D187" s="3" t="s">
        <v>726</v>
      </c>
      <c r="E187" s="3" t="s">
        <v>727</v>
      </c>
      <c r="F187" s="3" t="s">
        <v>29</v>
      </c>
      <c r="G187" s="3" t="s">
        <v>129</v>
      </c>
      <c r="H187" s="3" t="s">
        <v>250</v>
      </c>
      <c r="I187" s="4">
        <v>2020.0</v>
      </c>
      <c r="J187" s="3">
        <v>2027.0</v>
      </c>
      <c r="K187" s="6">
        <v>43954.0</v>
      </c>
      <c r="L187" s="3">
        <v>32.9</v>
      </c>
      <c r="M187" s="3" t="s">
        <v>99</v>
      </c>
      <c r="N187" s="10">
        <v>43798.0</v>
      </c>
      <c r="O187" s="3">
        <v>0.0</v>
      </c>
      <c r="P187">
        <f>O187*L187</f>
        <v>0</v>
      </c>
      <c r="Q187" s="12">
        <v>45746.0</v>
      </c>
      <c r="R187" s="9">
        <v>4.5</v>
      </c>
      <c r="S187" s="3" t="s">
        <v>728</v>
      </c>
    </row>
    <row r="188">
      <c r="A188" s="3" t="s">
        <v>729</v>
      </c>
      <c r="B188" s="3">
        <v>2017.0</v>
      </c>
      <c r="C188" s="3" t="s">
        <v>311</v>
      </c>
      <c r="D188" s="3" t="s">
        <v>685</v>
      </c>
      <c r="E188" s="3"/>
      <c r="F188" s="3" t="s">
        <v>22</v>
      </c>
      <c r="G188" s="3" t="s">
        <v>129</v>
      </c>
      <c r="H188" s="3" t="s">
        <v>93</v>
      </c>
      <c r="I188" s="4">
        <v>2021.0</v>
      </c>
      <c r="J188" s="3">
        <v>2027.0</v>
      </c>
      <c r="K188" s="6">
        <v>43589.0</v>
      </c>
      <c r="L188" s="3">
        <v>13.0</v>
      </c>
      <c r="M188" s="3" t="s">
        <v>118</v>
      </c>
      <c r="N188" s="7">
        <v>43436.0</v>
      </c>
      <c r="O188" s="3">
        <v>0.0</v>
      </c>
      <c r="P188" s="9"/>
      <c r="Q188" s="9" t="s">
        <v>730</v>
      </c>
      <c r="R188" s="9" t="s">
        <v>649</v>
      </c>
      <c r="S188" s="3" t="s">
        <v>731</v>
      </c>
    </row>
    <row r="189">
      <c r="A189" s="3" t="s">
        <v>723</v>
      </c>
      <c r="B189" s="3">
        <v>2019.0</v>
      </c>
      <c r="C189" s="3" t="s">
        <v>732</v>
      </c>
      <c r="F189" s="3" t="s">
        <v>29</v>
      </c>
      <c r="G189" s="3" t="s">
        <v>129</v>
      </c>
      <c r="H189" s="3" t="s">
        <v>250</v>
      </c>
      <c r="I189" s="4">
        <v>2021.0</v>
      </c>
      <c r="J189" s="3">
        <v>2027.0</v>
      </c>
      <c r="K189" s="6">
        <v>45050.0</v>
      </c>
      <c r="L189" s="3">
        <v>17.3</v>
      </c>
      <c r="M189" s="3" t="s">
        <v>0</v>
      </c>
      <c r="N189" s="7">
        <v>45073.0</v>
      </c>
      <c r="O189" s="3">
        <v>1.0</v>
      </c>
      <c r="P189">
        <f t="shared" ref="P189:P190" si="21">O189*L189</f>
        <v>17.3</v>
      </c>
      <c r="Q189" s="7">
        <v>45794.0</v>
      </c>
      <c r="R189" s="3">
        <v>3.5</v>
      </c>
      <c r="S189" s="3" t="s">
        <v>733</v>
      </c>
    </row>
    <row r="190">
      <c r="A190" s="3" t="s">
        <v>734</v>
      </c>
      <c r="B190" s="3">
        <v>2019.0</v>
      </c>
      <c r="C190" s="3" t="s">
        <v>428</v>
      </c>
      <c r="D190" s="3" t="s">
        <v>735</v>
      </c>
      <c r="F190" s="3" t="s">
        <v>29</v>
      </c>
      <c r="G190" s="3" t="s">
        <v>84</v>
      </c>
      <c r="H190" s="3" t="s">
        <v>430</v>
      </c>
      <c r="I190" s="4">
        <v>2022.0</v>
      </c>
      <c r="J190" s="3">
        <v>2027.0</v>
      </c>
      <c r="K190" s="6">
        <v>44319.0</v>
      </c>
      <c r="L190" s="3">
        <v>24.0</v>
      </c>
      <c r="M190" s="3" t="s">
        <v>118</v>
      </c>
      <c r="N190" s="7">
        <v>44531.0</v>
      </c>
      <c r="O190" s="3">
        <v>1.0</v>
      </c>
      <c r="P190">
        <f t="shared" si="21"/>
        <v>24</v>
      </c>
      <c r="Q190" s="7">
        <v>45368.0</v>
      </c>
      <c r="R190" s="3">
        <v>4.0</v>
      </c>
      <c r="S190" s="3" t="s">
        <v>736</v>
      </c>
    </row>
    <row r="191">
      <c r="A191" s="3" t="s">
        <v>737</v>
      </c>
      <c r="B191" s="3">
        <v>2020.0</v>
      </c>
      <c r="C191" s="3" t="s">
        <v>652</v>
      </c>
      <c r="D191" s="3" t="s">
        <v>738</v>
      </c>
      <c r="F191" s="3" t="s">
        <v>22</v>
      </c>
      <c r="G191" s="3" t="s">
        <v>129</v>
      </c>
      <c r="H191" s="3" t="s">
        <v>93</v>
      </c>
      <c r="I191" s="4">
        <v>2022.0</v>
      </c>
      <c r="J191" s="3">
        <v>2027.0</v>
      </c>
      <c r="K191" s="6">
        <v>44320.0</v>
      </c>
      <c r="L191" s="3">
        <v>11.8</v>
      </c>
      <c r="M191" s="3" t="s">
        <v>118</v>
      </c>
      <c r="N191" s="7">
        <v>44531.0</v>
      </c>
      <c r="O191" s="3">
        <v>0.0</v>
      </c>
      <c r="P191" s="9"/>
      <c r="Q191" s="9" t="s">
        <v>739</v>
      </c>
      <c r="R191" s="9" t="s">
        <v>142</v>
      </c>
      <c r="S191" s="3" t="s">
        <v>740</v>
      </c>
    </row>
    <row r="192">
      <c r="A192" s="3" t="s">
        <v>741</v>
      </c>
      <c r="B192" s="3">
        <v>2021.0</v>
      </c>
      <c r="C192" s="3" t="s">
        <v>357</v>
      </c>
      <c r="D192" s="3" t="s">
        <v>742</v>
      </c>
      <c r="F192" s="3" t="s">
        <v>29</v>
      </c>
      <c r="G192" s="3" t="s">
        <v>330</v>
      </c>
      <c r="H192" s="3" t="s">
        <v>331</v>
      </c>
      <c r="I192" s="4">
        <v>2022.0</v>
      </c>
      <c r="J192" s="3">
        <v>2027.0</v>
      </c>
      <c r="M192" s="3" t="s">
        <v>499</v>
      </c>
      <c r="N192" s="7">
        <v>44766.0</v>
      </c>
      <c r="O192" s="3">
        <v>1.0</v>
      </c>
      <c r="P192">
        <f t="shared" ref="P192:P195" si="22">O192*L192</f>
        <v>0</v>
      </c>
      <c r="Q192" s="9" t="s">
        <v>743</v>
      </c>
      <c r="R192" s="9" t="s">
        <v>744</v>
      </c>
      <c r="S192" s="3" t="s">
        <v>745</v>
      </c>
    </row>
    <row r="193">
      <c r="A193" s="3" t="s">
        <v>746</v>
      </c>
      <c r="B193" s="3">
        <v>2020.0</v>
      </c>
      <c r="C193" s="3" t="s">
        <v>652</v>
      </c>
      <c r="D193" s="3" t="s">
        <v>747</v>
      </c>
      <c r="F193" s="3" t="s">
        <v>22</v>
      </c>
      <c r="G193" s="3" t="s">
        <v>129</v>
      </c>
      <c r="H193" s="3" t="s">
        <v>93</v>
      </c>
      <c r="I193" s="4">
        <v>2022.0</v>
      </c>
      <c r="J193" s="3">
        <v>2027.0</v>
      </c>
      <c r="K193" s="6">
        <v>45050.0</v>
      </c>
      <c r="L193" s="3">
        <v>16.3</v>
      </c>
      <c r="M193" s="3" t="s">
        <v>0</v>
      </c>
      <c r="N193" s="7">
        <v>45073.0</v>
      </c>
      <c r="O193" s="3">
        <v>0.0</v>
      </c>
      <c r="P193">
        <f t="shared" si="22"/>
        <v>0</v>
      </c>
      <c r="Q193" s="9" t="s">
        <v>748</v>
      </c>
      <c r="R193" s="9" t="s">
        <v>74</v>
      </c>
      <c r="S193" s="3" t="s">
        <v>749</v>
      </c>
    </row>
    <row r="194">
      <c r="A194" s="3" t="s">
        <v>750</v>
      </c>
      <c r="B194" s="3">
        <v>2022.0</v>
      </c>
      <c r="C194" s="3" t="s">
        <v>198</v>
      </c>
      <c r="D194" s="3" t="s">
        <v>63</v>
      </c>
      <c r="F194" s="3" t="s">
        <v>22</v>
      </c>
      <c r="G194" s="3" t="s">
        <v>64</v>
      </c>
      <c r="H194" s="3" t="s">
        <v>24</v>
      </c>
      <c r="I194" s="4">
        <v>2024.0</v>
      </c>
      <c r="J194" s="3">
        <v>2027.0</v>
      </c>
      <c r="K194" s="6">
        <v>45416.0</v>
      </c>
      <c r="M194" s="3" t="s">
        <v>611</v>
      </c>
      <c r="N194" s="7">
        <v>45465.0</v>
      </c>
      <c r="O194" s="3">
        <v>1.0</v>
      </c>
      <c r="P194">
        <f t="shared" si="22"/>
        <v>0</v>
      </c>
    </row>
    <row r="195">
      <c r="A195" s="3" t="s">
        <v>751</v>
      </c>
      <c r="B195" s="3">
        <v>2022.0</v>
      </c>
      <c r="C195" s="3" t="s">
        <v>752</v>
      </c>
      <c r="F195" s="3" t="s">
        <v>22</v>
      </c>
      <c r="G195" s="3" t="s">
        <v>352</v>
      </c>
      <c r="H195" s="3" t="s">
        <v>753</v>
      </c>
      <c r="I195" s="4">
        <v>2024.0</v>
      </c>
      <c r="J195" s="3">
        <v>2027.0</v>
      </c>
      <c r="K195" s="6">
        <v>45417.0</v>
      </c>
      <c r="L195" s="3">
        <v>9.5</v>
      </c>
      <c r="M195" s="3" t="s">
        <v>184</v>
      </c>
      <c r="N195" s="10">
        <v>45289.0</v>
      </c>
      <c r="O195" s="3">
        <v>0.0</v>
      </c>
      <c r="P195">
        <f t="shared" si="22"/>
        <v>0</v>
      </c>
      <c r="Q195" s="9" t="s">
        <v>754</v>
      </c>
      <c r="R195" s="9" t="s">
        <v>755</v>
      </c>
      <c r="S195" s="3" t="s">
        <v>756</v>
      </c>
    </row>
    <row r="196">
      <c r="A196" s="3" t="s">
        <v>757</v>
      </c>
      <c r="B196" s="3">
        <v>2022.0</v>
      </c>
      <c r="C196" s="3" t="s">
        <v>758</v>
      </c>
      <c r="D196" s="3" t="s">
        <v>759</v>
      </c>
      <c r="F196" s="3" t="s">
        <v>22</v>
      </c>
      <c r="G196" s="3" t="s">
        <v>163</v>
      </c>
      <c r="H196" s="3" t="s">
        <v>760</v>
      </c>
      <c r="I196" s="3">
        <v>2024.0</v>
      </c>
      <c r="J196" s="3">
        <v>2027.0</v>
      </c>
      <c r="L196" s="3">
        <v>6.8</v>
      </c>
      <c r="M196" s="3" t="s">
        <v>0</v>
      </c>
      <c r="N196" s="7">
        <v>45067.0</v>
      </c>
      <c r="O196" s="3">
        <v>0.0</v>
      </c>
      <c r="P196" s="9"/>
      <c r="Q196" s="9" t="s">
        <v>761</v>
      </c>
      <c r="R196" s="9" t="s">
        <v>762</v>
      </c>
      <c r="S196" s="3" t="s">
        <v>763</v>
      </c>
    </row>
    <row r="197">
      <c r="A197" s="3" t="s">
        <v>764</v>
      </c>
      <c r="B197" s="3">
        <v>2022.0</v>
      </c>
      <c r="C197" s="3" t="s">
        <v>765</v>
      </c>
      <c r="F197" s="3" t="s">
        <v>22</v>
      </c>
      <c r="G197" s="3" t="s">
        <v>163</v>
      </c>
      <c r="H197" s="3" t="s">
        <v>766</v>
      </c>
      <c r="I197" s="3">
        <v>2024.0</v>
      </c>
      <c r="J197" s="3">
        <v>2027.0</v>
      </c>
      <c r="K197" s="6">
        <v>45050.0</v>
      </c>
      <c r="L197" s="3">
        <v>9.0</v>
      </c>
      <c r="M197" s="3" t="s">
        <v>55</v>
      </c>
      <c r="N197" s="7">
        <v>45186.0</v>
      </c>
      <c r="O197" s="3">
        <v>0.0</v>
      </c>
      <c r="P197" s="7"/>
      <c r="Q197" s="7">
        <v>45205.0</v>
      </c>
      <c r="R197" s="3">
        <v>3.5</v>
      </c>
      <c r="S197" s="3" t="s">
        <v>411</v>
      </c>
    </row>
    <row r="198">
      <c r="A198" s="3" t="s">
        <v>594</v>
      </c>
      <c r="B198" s="3">
        <v>2022.0</v>
      </c>
      <c r="C198" s="3" t="s">
        <v>311</v>
      </c>
      <c r="D198" s="3" t="s">
        <v>767</v>
      </c>
      <c r="F198" s="3" t="s">
        <v>22</v>
      </c>
      <c r="G198" s="3" t="s">
        <v>129</v>
      </c>
      <c r="H198" s="3" t="s">
        <v>93</v>
      </c>
      <c r="I198" s="4">
        <v>2024.0</v>
      </c>
      <c r="J198" s="3">
        <v>2027.0</v>
      </c>
      <c r="K198" s="6">
        <v>45781.0</v>
      </c>
      <c r="L198" s="3">
        <v>26.0</v>
      </c>
      <c r="M198" s="3" t="s">
        <v>118</v>
      </c>
      <c r="N198" s="7">
        <v>45739.0</v>
      </c>
      <c r="O198" s="3">
        <v>2.0</v>
      </c>
      <c r="P198">
        <f t="shared" ref="P198:P199" si="23">O198*L198</f>
        <v>52</v>
      </c>
    </row>
    <row r="199">
      <c r="A199" s="3" t="s">
        <v>400</v>
      </c>
      <c r="B199" s="3">
        <v>2022.0</v>
      </c>
      <c r="C199" s="3" t="s">
        <v>403</v>
      </c>
      <c r="F199" s="3" t="s">
        <v>22</v>
      </c>
      <c r="G199" s="3" t="s">
        <v>129</v>
      </c>
      <c r="H199" s="3" t="s">
        <v>93</v>
      </c>
      <c r="I199" s="4">
        <v>2024.0</v>
      </c>
      <c r="J199" s="3">
        <v>2027.0</v>
      </c>
      <c r="K199" s="6">
        <v>45781.0</v>
      </c>
      <c r="L199" s="3">
        <v>17.0</v>
      </c>
      <c r="M199" s="3" t="s">
        <v>99</v>
      </c>
      <c r="N199" s="7">
        <v>45704.0</v>
      </c>
      <c r="O199" s="3">
        <v>0.0</v>
      </c>
      <c r="P199">
        <f t="shared" si="23"/>
        <v>0</v>
      </c>
      <c r="Q199" s="7">
        <v>45754.0</v>
      </c>
      <c r="R199" s="3">
        <v>3.0</v>
      </c>
      <c r="S199" s="3" t="s">
        <v>768</v>
      </c>
    </row>
    <row r="200">
      <c r="A200" s="3" t="s">
        <v>737</v>
      </c>
      <c r="B200" s="3">
        <v>2018.0</v>
      </c>
      <c r="C200" s="3" t="s">
        <v>769</v>
      </c>
      <c r="D200" s="3" t="s">
        <v>738</v>
      </c>
      <c r="F200" s="3" t="s">
        <v>22</v>
      </c>
      <c r="G200" s="3" t="s">
        <v>129</v>
      </c>
      <c r="H200" s="3" t="s">
        <v>93</v>
      </c>
      <c r="I200" s="4">
        <v>2020.0</v>
      </c>
      <c r="J200" s="3">
        <v>2028.0</v>
      </c>
      <c r="K200" s="6">
        <v>44320.0</v>
      </c>
      <c r="L200" s="3">
        <v>14.7</v>
      </c>
      <c r="M200" s="3" t="s">
        <v>118</v>
      </c>
      <c r="N200" s="7">
        <v>44531.0</v>
      </c>
      <c r="O200" s="3">
        <v>0.0</v>
      </c>
      <c r="P200" s="9"/>
      <c r="Q200" s="9" t="s">
        <v>770</v>
      </c>
      <c r="R200" s="9" t="s">
        <v>74</v>
      </c>
      <c r="S200" s="3" t="s">
        <v>771</v>
      </c>
    </row>
    <row r="201">
      <c r="A201" s="3" t="s">
        <v>772</v>
      </c>
      <c r="B201" s="3">
        <v>2018.0</v>
      </c>
      <c r="C201" s="3" t="s">
        <v>773</v>
      </c>
      <c r="D201" s="3" t="s">
        <v>774</v>
      </c>
      <c r="F201" s="3" t="s">
        <v>29</v>
      </c>
      <c r="G201" s="3" t="s">
        <v>84</v>
      </c>
      <c r="H201" s="3" t="s">
        <v>487</v>
      </c>
      <c r="I201" s="4">
        <v>2020.0</v>
      </c>
      <c r="J201" s="3">
        <v>2028.0</v>
      </c>
      <c r="K201" s="6">
        <v>44685.0</v>
      </c>
      <c r="L201" s="3">
        <v>30.0</v>
      </c>
      <c r="M201" s="3" t="s">
        <v>775</v>
      </c>
      <c r="N201" s="10">
        <v>44857.0</v>
      </c>
      <c r="O201" s="3">
        <v>1.0</v>
      </c>
      <c r="P201">
        <f>O201*L201</f>
        <v>30</v>
      </c>
    </row>
    <row r="202">
      <c r="A202" s="3" t="s">
        <v>776</v>
      </c>
      <c r="B202" s="3">
        <v>2018.0</v>
      </c>
      <c r="C202" s="3" t="s">
        <v>777</v>
      </c>
      <c r="F202" s="3" t="s">
        <v>40</v>
      </c>
      <c r="G202" s="3" t="s">
        <v>777</v>
      </c>
      <c r="H202" s="3" t="s">
        <v>778</v>
      </c>
      <c r="I202" s="4">
        <v>2021.0</v>
      </c>
      <c r="J202" s="3">
        <v>2028.0</v>
      </c>
      <c r="K202" s="6">
        <v>43955.0</v>
      </c>
      <c r="M202" s="3" t="s">
        <v>94</v>
      </c>
      <c r="N202" s="7">
        <v>43834.0</v>
      </c>
      <c r="O202" s="3">
        <v>0.0</v>
      </c>
      <c r="P202" s="7"/>
      <c r="Q202" s="7">
        <v>45127.0</v>
      </c>
      <c r="R202" s="3">
        <v>3.0</v>
      </c>
      <c r="S202" s="3" t="s">
        <v>779</v>
      </c>
    </row>
    <row r="203">
      <c r="A203" s="3" t="s">
        <v>710</v>
      </c>
      <c r="B203" s="3">
        <v>2018.0</v>
      </c>
      <c r="C203" s="3" t="s">
        <v>193</v>
      </c>
      <c r="D203" s="3" t="s">
        <v>711</v>
      </c>
      <c r="F203" s="3" t="s">
        <v>29</v>
      </c>
      <c r="G203" s="3" t="s">
        <v>163</v>
      </c>
      <c r="H203" s="3" t="s">
        <v>274</v>
      </c>
      <c r="I203" s="3">
        <v>2021.0</v>
      </c>
      <c r="J203" s="3">
        <v>2028.0</v>
      </c>
      <c r="K203" s="6"/>
      <c r="L203" s="3">
        <v>6.8</v>
      </c>
      <c r="M203" s="3" t="s">
        <v>99</v>
      </c>
      <c r="N203" s="7">
        <v>43617.0</v>
      </c>
      <c r="O203" s="3">
        <v>0.0</v>
      </c>
      <c r="P203" s="9"/>
      <c r="Q203" s="9" t="s">
        <v>780</v>
      </c>
      <c r="R203" s="9" t="s">
        <v>49</v>
      </c>
      <c r="S203" s="3" t="s">
        <v>781</v>
      </c>
    </row>
    <row r="204">
      <c r="A204" s="3" t="s">
        <v>782</v>
      </c>
      <c r="B204" s="3">
        <v>2018.0</v>
      </c>
      <c r="C204" s="3" t="s">
        <v>783</v>
      </c>
      <c r="D204" s="3" t="s">
        <v>784</v>
      </c>
      <c r="F204" s="3" t="s">
        <v>29</v>
      </c>
      <c r="G204" s="3" t="s">
        <v>154</v>
      </c>
      <c r="H204" s="3" t="s">
        <v>785</v>
      </c>
      <c r="I204" s="4">
        <v>2021.0</v>
      </c>
      <c r="J204" s="3">
        <v>2028.0</v>
      </c>
      <c r="K204" s="6">
        <v>44320.0</v>
      </c>
      <c r="L204" s="3">
        <v>14.99</v>
      </c>
      <c r="M204" s="3" t="s">
        <v>270</v>
      </c>
      <c r="N204" s="7">
        <v>44224.0</v>
      </c>
      <c r="O204" s="3">
        <v>2.0</v>
      </c>
      <c r="P204">
        <f t="shared" ref="P204:P205" si="24">O204*L204</f>
        <v>29.98</v>
      </c>
      <c r="Q204" s="9" t="s">
        <v>786</v>
      </c>
      <c r="R204" s="9" t="s">
        <v>787</v>
      </c>
      <c r="S204" s="3" t="s">
        <v>788</v>
      </c>
    </row>
    <row r="205">
      <c r="A205" s="16" t="s">
        <v>789</v>
      </c>
      <c r="B205" s="3">
        <v>2018.0</v>
      </c>
      <c r="C205" s="3" t="s">
        <v>232</v>
      </c>
      <c r="D205" s="3" t="s">
        <v>790</v>
      </c>
      <c r="F205" s="3" t="s">
        <v>29</v>
      </c>
      <c r="G205" s="3" t="s">
        <v>154</v>
      </c>
      <c r="H205" s="3" t="s">
        <v>234</v>
      </c>
      <c r="I205" s="4">
        <v>2021.0</v>
      </c>
      <c r="J205" s="3">
        <v>2028.0</v>
      </c>
      <c r="K205" s="6">
        <v>44320.0</v>
      </c>
      <c r="L205" s="3">
        <v>44.99</v>
      </c>
      <c r="M205" s="3" t="s">
        <v>270</v>
      </c>
      <c r="N205" s="7">
        <v>44434.0</v>
      </c>
      <c r="O205" s="3">
        <v>1.0</v>
      </c>
      <c r="P205">
        <f t="shared" si="24"/>
        <v>44.99</v>
      </c>
      <c r="Q205" s="9" t="s">
        <v>791</v>
      </c>
      <c r="R205" s="9" t="s">
        <v>792</v>
      </c>
      <c r="S205" s="3" t="s">
        <v>793</v>
      </c>
    </row>
    <row r="206">
      <c r="A206" s="3" t="s">
        <v>160</v>
      </c>
      <c r="B206" s="3">
        <v>2018.0</v>
      </c>
      <c r="C206" s="3" t="s">
        <v>527</v>
      </c>
      <c r="D206" s="3" t="s">
        <v>717</v>
      </c>
      <c r="F206" s="3" t="s">
        <v>22</v>
      </c>
      <c r="G206" s="3" t="s">
        <v>163</v>
      </c>
      <c r="H206" s="3" t="s">
        <v>164</v>
      </c>
      <c r="I206" s="4">
        <v>2021.0</v>
      </c>
      <c r="J206" s="3">
        <v>2028.0</v>
      </c>
      <c r="K206" s="6">
        <v>43953.0</v>
      </c>
      <c r="M206" s="3" t="s">
        <v>165</v>
      </c>
      <c r="N206" s="7">
        <v>43945.0</v>
      </c>
      <c r="O206" s="3">
        <v>0.0</v>
      </c>
      <c r="P206" s="7"/>
      <c r="Q206" s="7">
        <v>44502.0</v>
      </c>
      <c r="R206" s="3">
        <v>3.5</v>
      </c>
      <c r="S206" s="3" t="s">
        <v>794</v>
      </c>
    </row>
    <row r="207">
      <c r="A207" s="3" t="s">
        <v>795</v>
      </c>
      <c r="B207" s="3">
        <v>2018.0</v>
      </c>
      <c r="C207" s="3" t="s">
        <v>783</v>
      </c>
      <c r="D207" s="3" t="s">
        <v>694</v>
      </c>
      <c r="F207" s="3" t="s">
        <v>29</v>
      </c>
      <c r="G207" s="3" t="s">
        <v>154</v>
      </c>
      <c r="H207" s="3" t="s">
        <v>785</v>
      </c>
      <c r="I207" s="4">
        <v>2021.0</v>
      </c>
      <c r="J207" s="3">
        <v>2028.0</v>
      </c>
      <c r="K207" s="6">
        <v>44320.0</v>
      </c>
      <c r="L207" s="3">
        <v>25.0</v>
      </c>
      <c r="M207" s="3" t="s">
        <v>118</v>
      </c>
      <c r="N207" s="7">
        <v>44531.0</v>
      </c>
      <c r="O207" s="3">
        <v>0.0</v>
      </c>
      <c r="P207">
        <f t="shared" ref="P207:P211" si="25">O207*L207</f>
        <v>0</v>
      </c>
      <c r="Q207" s="9" t="s">
        <v>796</v>
      </c>
      <c r="R207" s="9" t="s">
        <v>797</v>
      </c>
      <c r="S207" s="3" t="s">
        <v>798</v>
      </c>
    </row>
    <row r="208">
      <c r="A208" s="3" t="s">
        <v>799</v>
      </c>
      <c r="B208" s="3">
        <v>2018.0</v>
      </c>
      <c r="C208" s="3" t="s">
        <v>800</v>
      </c>
      <c r="F208" s="3" t="s">
        <v>29</v>
      </c>
      <c r="G208" s="3" t="s">
        <v>129</v>
      </c>
      <c r="H208" s="3" t="s">
        <v>250</v>
      </c>
      <c r="I208" s="4">
        <v>2021.0</v>
      </c>
      <c r="J208" s="3">
        <v>2028.0</v>
      </c>
      <c r="K208" s="6">
        <v>44319.0</v>
      </c>
      <c r="L208" s="3">
        <v>16.0</v>
      </c>
      <c r="M208" s="3" t="s">
        <v>140</v>
      </c>
      <c r="N208" s="7">
        <v>44266.0</v>
      </c>
      <c r="O208" s="3">
        <v>0.0</v>
      </c>
      <c r="P208">
        <f t="shared" si="25"/>
        <v>0</v>
      </c>
      <c r="Q208" s="9" t="s">
        <v>801</v>
      </c>
      <c r="R208" s="9" t="s">
        <v>142</v>
      </c>
      <c r="S208" s="3" t="s">
        <v>802</v>
      </c>
    </row>
    <row r="209">
      <c r="A209" s="3" t="s">
        <v>571</v>
      </c>
      <c r="B209" s="3">
        <v>2020.0</v>
      </c>
      <c r="C209" s="16" t="s">
        <v>545</v>
      </c>
      <c r="D209" s="3" t="s">
        <v>803</v>
      </c>
      <c r="F209" s="3" t="s">
        <v>29</v>
      </c>
      <c r="G209" s="3" t="s">
        <v>330</v>
      </c>
      <c r="H209" s="3" t="s">
        <v>331</v>
      </c>
      <c r="I209" s="4">
        <v>2022.0</v>
      </c>
      <c r="J209" s="3">
        <v>2028.0</v>
      </c>
      <c r="K209" s="6">
        <v>44320.0</v>
      </c>
      <c r="L209" s="3">
        <v>12.0</v>
      </c>
      <c r="M209" s="3" t="s">
        <v>118</v>
      </c>
      <c r="N209" s="7">
        <v>44531.0</v>
      </c>
      <c r="O209" s="3">
        <v>1.0</v>
      </c>
      <c r="P209">
        <f t="shared" si="25"/>
        <v>12</v>
      </c>
      <c r="Q209" s="7">
        <v>44742.0</v>
      </c>
      <c r="R209" s="3">
        <v>3.5</v>
      </c>
      <c r="S209" s="3" t="s">
        <v>804</v>
      </c>
    </row>
    <row r="210">
      <c r="A210" s="3" t="s">
        <v>805</v>
      </c>
      <c r="B210" s="3">
        <v>2020.0</v>
      </c>
      <c r="C210" s="3" t="s">
        <v>243</v>
      </c>
      <c r="D210" s="3" t="s">
        <v>346</v>
      </c>
      <c r="F210" s="3" t="s">
        <v>22</v>
      </c>
      <c r="G210" s="3" t="s">
        <v>129</v>
      </c>
      <c r="H210" s="3" t="s">
        <v>93</v>
      </c>
      <c r="I210" s="4">
        <v>2022.0</v>
      </c>
      <c r="J210" s="3">
        <v>2028.0</v>
      </c>
      <c r="K210" s="6">
        <v>44685.0</v>
      </c>
      <c r="L210" s="3">
        <v>19.5</v>
      </c>
      <c r="M210" s="3" t="s">
        <v>118</v>
      </c>
      <c r="N210" s="10">
        <v>44888.0</v>
      </c>
      <c r="O210" s="3">
        <v>0.0</v>
      </c>
      <c r="P210">
        <f t="shared" si="25"/>
        <v>0</v>
      </c>
      <c r="Q210" s="9" t="s">
        <v>806</v>
      </c>
      <c r="R210" s="9" t="s">
        <v>142</v>
      </c>
      <c r="S210" s="3" t="s">
        <v>807</v>
      </c>
    </row>
    <row r="211">
      <c r="A211" s="3" t="s">
        <v>805</v>
      </c>
      <c r="B211" s="3">
        <v>2020.0</v>
      </c>
      <c r="C211" s="3" t="s">
        <v>243</v>
      </c>
      <c r="D211" s="3" t="s">
        <v>808</v>
      </c>
      <c r="F211" s="3" t="s">
        <v>22</v>
      </c>
      <c r="G211" s="3" t="s">
        <v>129</v>
      </c>
      <c r="H211" s="3" t="s">
        <v>93</v>
      </c>
      <c r="I211" s="4">
        <v>2022.0</v>
      </c>
      <c r="J211" s="3">
        <v>2028.0</v>
      </c>
      <c r="K211" s="6">
        <v>45050.0</v>
      </c>
      <c r="L211" s="3">
        <v>21.0</v>
      </c>
      <c r="M211" s="3" t="s">
        <v>118</v>
      </c>
      <c r="N211" s="10">
        <v>45259.0</v>
      </c>
      <c r="O211" s="3">
        <v>0.0</v>
      </c>
      <c r="P211">
        <f t="shared" si="25"/>
        <v>0</v>
      </c>
      <c r="Q211" s="7">
        <v>45770.0</v>
      </c>
      <c r="R211" s="3">
        <v>3.5</v>
      </c>
      <c r="S211" s="3" t="s">
        <v>809</v>
      </c>
    </row>
    <row r="212">
      <c r="A212" s="3" t="s">
        <v>810</v>
      </c>
      <c r="B212" s="3">
        <v>2018.0</v>
      </c>
      <c r="C212" s="3" t="s">
        <v>811</v>
      </c>
      <c r="F212" s="3" t="s">
        <v>29</v>
      </c>
      <c r="G212" s="3" t="s">
        <v>154</v>
      </c>
      <c r="H212" s="3" t="s">
        <v>785</v>
      </c>
      <c r="I212" s="4">
        <v>2022.0</v>
      </c>
      <c r="J212" s="3">
        <v>2028.0</v>
      </c>
      <c r="K212" s="6">
        <v>43955.0</v>
      </c>
      <c r="L212" s="3">
        <v>13.5</v>
      </c>
      <c r="M212" s="3" t="s">
        <v>140</v>
      </c>
      <c r="N212" s="10">
        <v>44147.0</v>
      </c>
      <c r="O212" s="3">
        <v>0.0</v>
      </c>
      <c r="P212" s="7"/>
      <c r="Q212" s="7">
        <v>44608.0</v>
      </c>
      <c r="R212" s="3">
        <v>4.5</v>
      </c>
      <c r="S212" s="3" t="s">
        <v>812</v>
      </c>
    </row>
    <row r="213">
      <c r="A213" s="3" t="s">
        <v>646</v>
      </c>
      <c r="B213" s="3">
        <v>2020.0</v>
      </c>
      <c r="C213" s="16" t="s">
        <v>545</v>
      </c>
      <c r="D213" s="3" t="s">
        <v>647</v>
      </c>
      <c r="F213" s="3" t="s">
        <v>29</v>
      </c>
      <c r="G213" s="3" t="s">
        <v>330</v>
      </c>
      <c r="H213" s="3" t="s">
        <v>331</v>
      </c>
      <c r="I213" s="4">
        <v>2022.0</v>
      </c>
      <c r="J213" s="3">
        <v>2028.0</v>
      </c>
      <c r="K213" s="6">
        <v>44685.0</v>
      </c>
      <c r="L213" s="3">
        <v>9.7</v>
      </c>
      <c r="M213" s="3" t="s">
        <v>190</v>
      </c>
      <c r="N213" s="7">
        <v>44812.0</v>
      </c>
      <c r="O213" s="3">
        <v>2.0</v>
      </c>
      <c r="P213">
        <f t="shared" ref="P213:P219" si="26">O213*L213</f>
        <v>19.4</v>
      </c>
    </row>
    <row r="214">
      <c r="A214" s="3" t="s">
        <v>813</v>
      </c>
      <c r="B214" s="3">
        <v>2020.0</v>
      </c>
      <c r="C214" s="3" t="s">
        <v>257</v>
      </c>
      <c r="D214" s="3" t="s">
        <v>814</v>
      </c>
      <c r="E214" s="3" t="s">
        <v>727</v>
      </c>
      <c r="F214" s="3" t="s">
        <v>29</v>
      </c>
      <c r="G214" s="3" t="s">
        <v>129</v>
      </c>
      <c r="H214" s="3" t="s">
        <v>250</v>
      </c>
      <c r="I214" s="4">
        <v>2023.0</v>
      </c>
      <c r="J214" s="3">
        <v>2028.0</v>
      </c>
      <c r="K214" s="6">
        <v>44320.0</v>
      </c>
      <c r="L214" s="3">
        <v>17.99</v>
      </c>
      <c r="M214" s="3" t="s">
        <v>190</v>
      </c>
      <c r="N214" s="7">
        <v>44459.0</v>
      </c>
      <c r="O214" s="3">
        <v>1.0</v>
      </c>
      <c r="P214">
        <f t="shared" si="26"/>
        <v>17.99</v>
      </c>
    </row>
    <row r="215">
      <c r="A215" s="3" t="s">
        <v>746</v>
      </c>
      <c r="B215" s="3">
        <v>2021.0</v>
      </c>
      <c r="C215" s="3" t="s">
        <v>652</v>
      </c>
      <c r="D215" s="3" t="s">
        <v>815</v>
      </c>
      <c r="F215" s="3" t="s">
        <v>22</v>
      </c>
      <c r="G215" s="3" t="s">
        <v>129</v>
      </c>
      <c r="H215" s="3" t="s">
        <v>93</v>
      </c>
      <c r="I215" s="4">
        <v>2023.0</v>
      </c>
      <c r="J215" s="3">
        <v>2028.0</v>
      </c>
      <c r="K215" s="6">
        <v>45049.0</v>
      </c>
      <c r="L215" s="3">
        <v>14.9</v>
      </c>
      <c r="M215" s="3" t="s">
        <v>0</v>
      </c>
      <c r="N215" s="7">
        <v>45073.0</v>
      </c>
      <c r="O215" s="3">
        <v>0.0</v>
      </c>
      <c r="P215">
        <f t="shared" si="26"/>
        <v>0</v>
      </c>
      <c r="Q215" s="9" t="s">
        <v>816</v>
      </c>
      <c r="R215" s="9" t="s">
        <v>142</v>
      </c>
      <c r="S215" s="3" t="s">
        <v>817</v>
      </c>
    </row>
    <row r="216">
      <c r="A216" s="3" t="s">
        <v>818</v>
      </c>
      <c r="B216" s="3">
        <v>2023.0</v>
      </c>
      <c r="C216" s="3" t="s">
        <v>819</v>
      </c>
      <c r="D216" s="3" t="s">
        <v>820</v>
      </c>
      <c r="F216" s="3" t="s">
        <v>22</v>
      </c>
      <c r="G216" s="3" t="s">
        <v>129</v>
      </c>
      <c r="H216" s="3" t="s">
        <v>93</v>
      </c>
      <c r="I216" s="4">
        <v>2024.0</v>
      </c>
      <c r="J216" s="3">
        <v>2028.0</v>
      </c>
      <c r="K216" s="6">
        <v>45782.0</v>
      </c>
      <c r="L216" s="3">
        <v>10.5</v>
      </c>
      <c r="M216" s="3" t="s">
        <v>118</v>
      </c>
      <c r="N216" s="10">
        <v>45623.0</v>
      </c>
      <c r="O216" s="3">
        <v>0.0</v>
      </c>
      <c r="P216">
        <f t="shared" si="26"/>
        <v>0</v>
      </c>
      <c r="Q216" s="9" t="s">
        <v>821</v>
      </c>
      <c r="R216" s="9" t="s">
        <v>822</v>
      </c>
      <c r="S216" s="3" t="s">
        <v>823</v>
      </c>
    </row>
    <row r="217">
      <c r="A217" s="3" t="s">
        <v>677</v>
      </c>
      <c r="B217" s="3">
        <v>2022.0</v>
      </c>
      <c r="C217" s="3" t="s">
        <v>373</v>
      </c>
      <c r="D217" s="3" t="s">
        <v>396</v>
      </c>
      <c r="F217" s="3" t="s">
        <v>29</v>
      </c>
      <c r="G217" s="3" t="s">
        <v>163</v>
      </c>
      <c r="H217" s="3" t="s">
        <v>250</v>
      </c>
      <c r="I217" s="4">
        <v>2024.0</v>
      </c>
      <c r="J217" s="3">
        <v>2028.0</v>
      </c>
      <c r="K217" s="6">
        <v>45051.0</v>
      </c>
      <c r="L217" s="3">
        <v>12.5</v>
      </c>
      <c r="M217" s="3" t="s">
        <v>55</v>
      </c>
      <c r="N217" s="10">
        <v>45249.0</v>
      </c>
      <c r="O217" s="3">
        <v>0.0</v>
      </c>
      <c r="P217">
        <f t="shared" si="26"/>
        <v>0</v>
      </c>
      <c r="Q217" s="7">
        <v>45404.0</v>
      </c>
      <c r="R217" s="3">
        <v>3.5</v>
      </c>
      <c r="S217" s="3" t="s">
        <v>824</v>
      </c>
    </row>
    <row r="218">
      <c r="A218" s="3" t="s">
        <v>750</v>
      </c>
      <c r="B218" s="3">
        <v>2023.0</v>
      </c>
      <c r="C218" s="3" t="s">
        <v>198</v>
      </c>
      <c r="D218" s="3" t="s">
        <v>825</v>
      </c>
      <c r="F218" s="3" t="s">
        <v>22</v>
      </c>
      <c r="G218" s="3" t="s">
        <v>64</v>
      </c>
      <c r="H218" s="3" t="s">
        <v>24</v>
      </c>
      <c r="I218" s="3">
        <v>2025.0</v>
      </c>
      <c r="J218" s="3">
        <v>2028.0</v>
      </c>
      <c r="M218" s="3" t="s">
        <v>611</v>
      </c>
      <c r="N218" s="7">
        <v>45465.0</v>
      </c>
      <c r="O218" s="3">
        <v>0.0</v>
      </c>
      <c r="P218">
        <f t="shared" si="26"/>
        <v>0</v>
      </c>
      <c r="Q218" s="7">
        <v>45927.0</v>
      </c>
      <c r="R218" s="3">
        <v>4.0</v>
      </c>
      <c r="S218" s="3" t="s">
        <v>826</v>
      </c>
    </row>
    <row r="219">
      <c r="A219" s="3" t="s">
        <v>827</v>
      </c>
      <c r="B219" s="3">
        <v>2023.0</v>
      </c>
      <c r="C219" s="3" t="s">
        <v>828</v>
      </c>
      <c r="D219" s="3" t="s">
        <v>829</v>
      </c>
      <c r="F219" s="3" t="s">
        <v>29</v>
      </c>
      <c r="G219" s="3" t="s">
        <v>84</v>
      </c>
      <c r="H219" s="3" t="s">
        <v>830</v>
      </c>
      <c r="I219" s="4">
        <v>2025.0</v>
      </c>
      <c r="J219" s="3">
        <v>2028.0</v>
      </c>
      <c r="K219" s="6">
        <v>45416.0</v>
      </c>
      <c r="L219" s="3">
        <v>10.0</v>
      </c>
      <c r="M219" s="3" t="s">
        <v>94</v>
      </c>
      <c r="N219" s="10">
        <v>45613.0</v>
      </c>
      <c r="O219" s="3">
        <v>3.0</v>
      </c>
      <c r="P219">
        <f t="shared" si="26"/>
        <v>30</v>
      </c>
    </row>
    <row r="220">
      <c r="A220" s="3" t="s">
        <v>831</v>
      </c>
      <c r="B220" s="3">
        <v>2014.0</v>
      </c>
      <c r="C220" s="3" t="s">
        <v>832</v>
      </c>
      <c r="D220" s="3" t="s">
        <v>833</v>
      </c>
      <c r="F220" s="3" t="s">
        <v>22</v>
      </c>
      <c r="G220" s="3" t="s">
        <v>129</v>
      </c>
      <c r="H220" s="3" t="s">
        <v>93</v>
      </c>
      <c r="I220" s="4">
        <v>2017.0</v>
      </c>
      <c r="J220" s="3">
        <v>2029.0</v>
      </c>
      <c r="K220" s="6">
        <v>43956.0</v>
      </c>
      <c r="L220" s="3">
        <v>18.0</v>
      </c>
      <c r="M220" s="3" t="s">
        <v>165</v>
      </c>
      <c r="N220" s="7">
        <v>43949.0</v>
      </c>
      <c r="O220" s="3">
        <v>0.0</v>
      </c>
      <c r="P220" s="9"/>
      <c r="Q220" s="9" t="s">
        <v>834</v>
      </c>
      <c r="R220" s="9" t="s">
        <v>835</v>
      </c>
      <c r="S220" s="3" t="s">
        <v>836</v>
      </c>
    </row>
    <row r="221">
      <c r="A221" s="3" t="s">
        <v>837</v>
      </c>
      <c r="B221" s="3">
        <v>2014.0</v>
      </c>
      <c r="C221" s="3" t="s">
        <v>838</v>
      </c>
      <c r="D221" s="3" t="s">
        <v>839</v>
      </c>
      <c r="F221" s="3" t="s">
        <v>29</v>
      </c>
      <c r="G221" s="3" t="s">
        <v>44</v>
      </c>
      <c r="H221" s="3" t="s">
        <v>840</v>
      </c>
      <c r="I221" s="4">
        <v>2018.0</v>
      </c>
      <c r="J221" s="3">
        <v>2029.0</v>
      </c>
      <c r="K221" s="6">
        <v>43588.0</v>
      </c>
      <c r="M221" s="3" t="s">
        <v>841</v>
      </c>
      <c r="N221" s="7">
        <v>42913.0</v>
      </c>
      <c r="O221" s="3">
        <v>1.0</v>
      </c>
      <c r="P221">
        <f t="shared" ref="P221:P223" si="27">O221*L221</f>
        <v>0</v>
      </c>
      <c r="Q221" s="13"/>
      <c r="R221" s="13"/>
    </row>
    <row r="222">
      <c r="A222" s="3" t="s">
        <v>837</v>
      </c>
      <c r="B222" s="3">
        <v>2014.0</v>
      </c>
      <c r="C222" s="3" t="s">
        <v>838</v>
      </c>
      <c r="F222" s="3" t="s">
        <v>29</v>
      </c>
      <c r="G222" s="3" t="s">
        <v>44</v>
      </c>
      <c r="H222" s="3" t="s">
        <v>840</v>
      </c>
      <c r="I222" s="4">
        <v>2018.0</v>
      </c>
      <c r="J222" s="3">
        <v>2029.0</v>
      </c>
      <c r="K222" s="6">
        <v>43588.0</v>
      </c>
      <c r="L222" s="3">
        <v>24.95</v>
      </c>
      <c r="M222" s="3" t="s">
        <v>147</v>
      </c>
      <c r="N222" s="10">
        <v>43092.0</v>
      </c>
      <c r="O222" s="3">
        <v>1.0</v>
      </c>
      <c r="P222">
        <f t="shared" si="27"/>
        <v>24.95</v>
      </c>
      <c r="Q222" s="13"/>
      <c r="R222" s="13"/>
    </row>
    <row r="223">
      <c r="A223" s="3" t="s">
        <v>842</v>
      </c>
      <c r="B223" s="3">
        <v>2014.0</v>
      </c>
      <c r="C223" s="3" t="s">
        <v>843</v>
      </c>
      <c r="F223" s="3" t="s">
        <v>29</v>
      </c>
      <c r="G223" s="3" t="s">
        <v>129</v>
      </c>
      <c r="H223" s="3" t="s">
        <v>250</v>
      </c>
      <c r="I223" s="4">
        <v>2018.0</v>
      </c>
      <c r="J223" s="3">
        <v>2029.0</v>
      </c>
      <c r="K223" s="6">
        <v>43589.0</v>
      </c>
      <c r="L223" s="3">
        <v>36.9</v>
      </c>
      <c r="M223" s="3" t="s">
        <v>270</v>
      </c>
      <c r="N223" s="7">
        <v>43687.0</v>
      </c>
      <c r="O223" s="3">
        <v>1.0</v>
      </c>
      <c r="P223">
        <f t="shared" si="27"/>
        <v>36.9</v>
      </c>
      <c r="Q223" s="9" t="s">
        <v>844</v>
      </c>
      <c r="R223" s="9" t="s">
        <v>74</v>
      </c>
      <c r="S223" s="3" t="s">
        <v>845</v>
      </c>
    </row>
    <row r="224">
      <c r="A224" s="3" t="s">
        <v>846</v>
      </c>
      <c r="B224" s="3">
        <v>2014.0</v>
      </c>
      <c r="C224" s="3" t="s">
        <v>847</v>
      </c>
      <c r="F224" s="3" t="s">
        <v>29</v>
      </c>
      <c r="G224" s="3" t="s">
        <v>71</v>
      </c>
      <c r="H224" s="3" t="s">
        <v>848</v>
      </c>
      <c r="I224" s="4">
        <v>2019.0</v>
      </c>
      <c r="J224" s="3">
        <v>2029.0</v>
      </c>
      <c r="K224" s="6">
        <v>43954.0</v>
      </c>
      <c r="L224" s="3">
        <v>10.0</v>
      </c>
      <c r="M224" s="3" t="s">
        <v>55</v>
      </c>
      <c r="N224" s="7">
        <v>43876.0</v>
      </c>
      <c r="O224" s="3">
        <v>0.0</v>
      </c>
      <c r="P224" s="9"/>
      <c r="Q224" s="9" t="s">
        <v>849</v>
      </c>
      <c r="R224" s="9" t="s">
        <v>74</v>
      </c>
      <c r="S224" s="3" t="s">
        <v>850</v>
      </c>
    </row>
    <row r="225">
      <c r="A225" s="3" t="s">
        <v>851</v>
      </c>
      <c r="B225" s="3">
        <v>2014.0</v>
      </c>
      <c r="C225" s="3" t="s">
        <v>847</v>
      </c>
      <c r="D225" s="3" t="s">
        <v>852</v>
      </c>
      <c r="F225" s="3" t="s">
        <v>29</v>
      </c>
      <c r="G225" s="3" t="s">
        <v>71</v>
      </c>
      <c r="H225" s="3" t="s">
        <v>848</v>
      </c>
      <c r="I225" s="4">
        <v>2019.0</v>
      </c>
      <c r="J225" s="3">
        <v>2029.0</v>
      </c>
      <c r="K225" s="6">
        <v>43588.0</v>
      </c>
      <c r="M225" s="3" t="s">
        <v>55</v>
      </c>
      <c r="N225" s="10">
        <v>43079.0</v>
      </c>
      <c r="O225" s="3">
        <v>0.0</v>
      </c>
      <c r="P225" s="12"/>
      <c r="Q225" s="12">
        <v>44898.0</v>
      </c>
      <c r="R225" s="9">
        <v>3.0</v>
      </c>
      <c r="S225" s="3" t="s">
        <v>853</v>
      </c>
    </row>
    <row r="226">
      <c r="A226" s="3" t="s">
        <v>851</v>
      </c>
      <c r="B226" s="3">
        <v>2014.0</v>
      </c>
      <c r="C226" s="3" t="s">
        <v>847</v>
      </c>
      <c r="D226" s="3" t="s">
        <v>383</v>
      </c>
      <c r="F226" s="3" t="s">
        <v>29</v>
      </c>
      <c r="G226" s="3" t="s">
        <v>71</v>
      </c>
      <c r="H226" s="3" t="s">
        <v>848</v>
      </c>
      <c r="I226" s="4">
        <v>2019.0</v>
      </c>
      <c r="J226" s="3">
        <v>2029.0</v>
      </c>
      <c r="K226" s="6">
        <v>43588.0</v>
      </c>
      <c r="M226" s="3" t="s">
        <v>55</v>
      </c>
      <c r="N226" s="10">
        <v>43079.0</v>
      </c>
      <c r="O226" s="3">
        <v>0.0</v>
      </c>
      <c r="P226">
        <f>O226*L226</f>
        <v>0</v>
      </c>
      <c r="Q226" s="12">
        <v>45306.0</v>
      </c>
      <c r="R226" s="9">
        <v>4.0</v>
      </c>
      <c r="S226" s="3" t="s">
        <v>854</v>
      </c>
    </row>
    <row r="227">
      <c r="A227" s="3" t="s">
        <v>400</v>
      </c>
      <c r="B227" s="3">
        <v>2017.0</v>
      </c>
      <c r="C227" s="3" t="s">
        <v>855</v>
      </c>
      <c r="D227" s="3" t="s">
        <v>856</v>
      </c>
      <c r="F227" s="3" t="s">
        <v>29</v>
      </c>
      <c r="G227" s="3" t="s">
        <v>129</v>
      </c>
      <c r="H227" s="3" t="s">
        <v>250</v>
      </c>
      <c r="I227" s="4">
        <v>2020.0</v>
      </c>
      <c r="J227" s="3">
        <v>2029.0</v>
      </c>
      <c r="K227" s="6">
        <v>43954.0</v>
      </c>
      <c r="L227" s="9" t="s">
        <v>857</v>
      </c>
      <c r="M227" s="3" t="s">
        <v>858</v>
      </c>
      <c r="N227" s="9" t="s">
        <v>859</v>
      </c>
      <c r="O227" s="3">
        <v>0.0</v>
      </c>
      <c r="P227" s="9"/>
      <c r="Q227" s="9" t="s">
        <v>860</v>
      </c>
      <c r="R227" s="9" t="s">
        <v>74</v>
      </c>
      <c r="S227" s="3" t="s">
        <v>861</v>
      </c>
    </row>
    <row r="228">
      <c r="A228" s="3" t="s">
        <v>588</v>
      </c>
      <c r="B228" s="3">
        <v>2019.0</v>
      </c>
      <c r="C228" s="3" t="s">
        <v>625</v>
      </c>
      <c r="D228" s="3" t="s">
        <v>862</v>
      </c>
      <c r="F228" s="3" t="s">
        <v>29</v>
      </c>
      <c r="G228" s="3" t="s">
        <v>84</v>
      </c>
      <c r="H228" s="3" t="s">
        <v>447</v>
      </c>
      <c r="I228" s="4">
        <v>2021.0</v>
      </c>
      <c r="J228" s="3">
        <v>2029.0</v>
      </c>
      <c r="K228" s="6">
        <v>44684.0</v>
      </c>
      <c r="L228" s="3">
        <v>9.5</v>
      </c>
      <c r="M228" s="3" t="s">
        <v>94</v>
      </c>
      <c r="N228" s="7">
        <v>44821.0</v>
      </c>
      <c r="O228" s="3">
        <v>0.0</v>
      </c>
      <c r="P228" s="10"/>
      <c r="Q228" s="10">
        <v>44891.0</v>
      </c>
      <c r="R228" s="3">
        <v>3.0</v>
      </c>
      <c r="S228" s="3" t="s">
        <v>863</v>
      </c>
    </row>
    <row r="229">
      <c r="A229" s="3" t="s">
        <v>864</v>
      </c>
      <c r="B229" s="3">
        <v>2019.0</v>
      </c>
      <c r="C229" s="3" t="s">
        <v>865</v>
      </c>
      <c r="D229" s="3" t="s">
        <v>866</v>
      </c>
      <c r="F229" s="3" t="s">
        <v>22</v>
      </c>
      <c r="G229" s="3" t="s">
        <v>23</v>
      </c>
      <c r="H229" s="3" t="s">
        <v>41</v>
      </c>
      <c r="I229" s="4">
        <v>2021.0</v>
      </c>
      <c r="J229" s="3">
        <v>2029.0</v>
      </c>
      <c r="K229" s="6">
        <v>45051.0</v>
      </c>
      <c r="M229" s="3" t="s">
        <v>25</v>
      </c>
      <c r="N229" s="7">
        <v>44969.0</v>
      </c>
      <c r="O229" s="3">
        <v>1.0</v>
      </c>
      <c r="P229">
        <f t="shared" ref="P229:P230" si="28">O229*L229</f>
        <v>0</v>
      </c>
    </row>
    <row r="230">
      <c r="A230" s="3" t="s">
        <v>867</v>
      </c>
      <c r="B230" s="3">
        <v>2019.0</v>
      </c>
      <c r="C230" s="3" t="s">
        <v>783</v>
      </c>
      <c r="F230" s="3" t="s">
        <v>29</v>
      </c>
      <c r="G230" s="3" t="s">
        <v>154</v>
      </c>
      <c r="H230" s="3" t="s">
        <v>785</v>
      </c>
      <c r="I230" s="4">
        <v>2022.0</v>
      </c>
      <c r="J230" s="3">
        <v>2029.0</v>
      </c>
      <c r="K230" s="6">
        <v>44320.0</v>
      </c>
      <c r="M230" s="3" t="s">
        <v>868</v>
      </c>
      <c r="N230" s="7">
        <v>44461.0</v>
      </c>
      <c r="O230" s="3">
        <v>1.0</v>
      </c>
      <c r="P230">
        <f t="shared" si="28"/>
        <v>0</v>
      </c>
    </row>
    <row r="231">
      <c r="A231" s="3" t="s">
        <v>869</v>
      </c>
      <c r="B231" s="3">
        <v>2019.0</v>
      </c>
      <c r="C231" s="3" t="s">
        <v>870</v>
      </c>
      <c r="D231" s="3" t="s">
        <v>871</v>
      </c>
      <c r="F231" s="3" t="s">
        <v>22</v>
      </c>
      <c r="G231" s="3" t="s">
        <v>163</v>
      </c>
      <c r="H231" s="3" t="s">
        <v>766</v>
      </c>
      <c r="I231" s="4">
        <v>2022.0</v>
      </c>
      <c r="J231" s="3">
        <v>2029.0</v>
      </c>
      <c r="K231" s="6">
        <v>44684.0</v>
      </c>
      <c r="L231" s="3">
        <v>16.0</v>
      </c>
      <c r="M231" s="3" t="s">
        <v>670</v>
      </c>
      <c r="N231" s="10">
        <v>44892.0</v>
      </c>
      <c r="O231" s="3">
        <v>0.0</v>
      </c>
      <c r="P231" s="10"/>
      <c r="Q231" s="10">
        <v>44909.0</v>
      </c>
      <c r="R231" s="3">
        <v>3.5</v>
      </c>
      <c r="S231" s="3" t="s">
        <v>872</v>
      </c>
    </row>
    <row r="232">
      <c r="A232" s="3" t="s">
        <v>873</v>
      </c>
      <c r="B232" s="3">
        <v>2019.0</v>
      </c>
      <c r="C232" s="3" t="s">
        <v>874</v>
      </c>
      <c r="F232" s="3" t="s">
        <v>29</v>
      </c>
      <c r="G232" s="3" t="s">
        <v>154</v>
      </c>
      <c r="H232" s="3" t="s">
        <v>234</v>
      </c>
      <c r="I232" s="4">
        <v>2022.0</v>
      </c>
      <c r="J232" s="3">
        <v>2029.0</v>
      </c>
      <c r="K232" s="6">
        <v>44685.0</v>
      </c>
      <c r="M232" s="3" t="s">
        <v>94</v>
      </c>
      <c r="N232" s="7">
        <v>44632.0</v>
      </c>
      <c r="O232" s="3">
        <v>1.0</v>
      </c>
      <c r="P232">
        <f>O232*L232</f>
        <v>0</v>
      </c>
    </row>
    <row r="233">
      <c r="A233" s="3" t="s">
        <v>875</v>
      </c>
      <c r="B233" s="3">
        <v>2019.0</v>
      </c>
      <c r="C233" s="3" t="s">
        <v>527</v>
      </c>
      <c r="F233" s="3" t="s">
        <v>22</v>
      </c>
      <c r="G233" s="3" t="s">
        <v>163</v>
      </c>
      <c r="H233" s="3" t="s">
        <v>164</v>
      </c>
      <c r="I233" s="3">
        <v>2022.0</v>
      </c>
      <c r="J233" s="3">
        <v>2029.0</v>
      </c>
      <c r="K233" s="6">
        <v>44319.0</v>
      </c>
      <c r="L233" s="3">
        <v>13.9</v>
      </c>
      <c r="M233" s="3" t="s">
        <v>94</v>
      </c>
      <c r="N233" s="7">
        <v>44310.0</v>
      </c>
      <c r="O233" s="3">
        <v>0.0</v>
      </c>
      <c r="P233" s="7"/>
      <c r="Q233" s="7">
        <v>44351.0</v>
      </c>
      <c r="R233" s="3">
        <v>4.0</v>
      </c>
      <c r="S233" s="3" t="s">
        <v>876</v>
      </c>
    </row>
    <row r="234">
      <c r="A234" s="3" t="s">
        <v>723</v>
      </c>
      <c r="B234" s="3">
        <v>2019.0</v>
      </c>
      <c r="C234" s="3" t="s">
        <v>724</v>
      </c>
      <c r="F234" s="3" t="s">
        <v>29</v>
      </c>
      <c r="G234" s="3" t="s">
        <v>129</v>
      </c>
      <c r="H234" s="3" t="s">
        <v>250</v>
      </c>
      <c r="I234" s="4">
        <v>2022.0</v>
      </c>
      <c r="J234" s="3">
        <v>2029.0</v>
      </c>
      <c r="K234" s="6">
        <v>45050.0</v>
      </c>
      <c r="L234" s="3">
        <v>28.3</v>
      </c>
      <c r="M234" s="3" t="s">
        <v>0</v>
      </c>
      <c r="N234" s="7">
        <v>45073.0</v>
      </c>
      <c r="O234" s="3">
        <v>1.0</v>
      </c>
      <c r="P234">
        <f t="shared" ref="P234:P235" si="29">O234*L234</f>
        <v>28.3</v>
      </c>
    </row>
    <row r="235">
      <c r="A235" s="3" t="s">
        <v>877</v>
      </c>
      <c r="B235" s="3">
        <v>2019.0</v>
      </c>
      <c r="C235" s="3" t="s">
        <v>811</v>
      </c>
      <c r="D235" s="3" t="s">
        <v>878</v>
      </c>
      <c r="F235" s="3" t="s">
        <v>29</v>
      </c>
      <c r="G235" s="3" t="s">
        <v>154</v>
      </c>
      <c r="H235" s="3" t="s">
        <v>785</v>
      </c>
      <c r="I235" s="4">
        <v>2023.0</v>
      </c>
      <c r="J235" s="3">
        <v>2029.0</v>
      </c>
      <c r="K235" s="6">
        <v>44685.0</v>
      </c>
      <c r="L235" s="3">
        <v>43.0</v>
      </c>
      <c r="M235" s="3" t="s">
        <v>118</v>
      </c>
      <c r="N235" s="10">
        <v>44888.0</v>
      </c>
      <c r="O235" s="3">
        <v>1.0</v>
      </c>
      <c r="P235">
        <f t="shared" si="29"/>
        <v>43</v>
      </c>
    </row>
    <row r="236">
      <c r="A236" s="3" t="s">
        <v>879</v>
      </c>
      <c r="B236" s="3">
        <v>2019.0</v>
      </c>
      <c r="C236" s="3" t="s">
        <v>811</v>
      </c>
      <c r="D236" s="3" t="s">
        <v>880</v>
      </c>
      <c r="F236" s="3" t="s">
        <v>29</v>
      </c>
      <c r="G236" s="3" t="s">
        <v>154</v>
      </c>
      <c r="H236" s="3" t="s">
        <v>785</v>
      </c>
      <c r="I236" s="4">
        <v>2023.0</v>
      </c>
      <c r="J236" s="3">
        <v>2029.0</v>
      </c>
      <c r="K236" s="6">
        <v>44685.0</v>
      </c>
      <c r="L236" s="3">
        <v>22.0</v>
      </c>
      <c r="M236" s="3" t="s">
        <v>118</v>
      </c>
      <c r="N236" s="7">
        <v>44640.0</v>
      </c>
      <c r="O236" s="3">
        <v>0.0</v>
      </c>
      <c r="P236" s="7"/>
      <c r="Q236" s="7">
        <v>44962.0</v>
      </c>
      <c r="R236" s="3">
        <v>4.0</v>
      </c>
      <c r="S236" s="3" t="s">
        <v>881</v>
      </c>
    </row>
    <row r="237">
      <c r="A237" s="3" t="s">
        <v>805</v>
      </c>
      <c r="B237" s="3">
        <v>2021.0</v>
      </c>
      <c r="C237" s="3" t="s">
        <v>243</v>
      </c>
      <c r="D237" s="3" t="s">
        <v>346</v>
      </c>
      <c r="F237" s="3" t="s">
        <v>22</v>
      </c>
      <c r="G237" s="3" t="s">
        <v>129</v>
      </c>
      <c r="H237" s="3" t="s">
        <v>93</v>
      </c>
      <c r="I237" s="4">
        <v>2023.0</v>
      </c>
      <c r="J237" s="3">
        <v>2029.0</v>
      </c>
      <c r="K237" s="6">
        <v>45049.0</v>
      </c>
      <c r="L237" s="3">
        <v>21.0</v>
      </c>
      <c r="M237" s="3" t="s">
        <v>118</v>
      </c>
      <c r="N237" s="10">
        <v>45259.0</v>
      </c>
      <c r="O237" s="3">
        <v>0.0</v>
      </c>
      <c r="P237">
        <f t="shared" ref="P237:P238" si="30">O237*L237</f>
        <v>0</v>
      </c>
      <c r="Q237" s="7">
        <v>45857.0</v>
      </c>
      <c r="R237" s="3">
        <v>4.0</v>
      </c>
      <c r="S237" s="3" t="s">
        <v>882</v>
      </c>
    </row>
    <row r="238">
      <c r="A238" s="3" t="s">
        <v>883</v>
      </c>
      <c r="B238" s="3">
        <v>2023.0</v>
      </c>
      <c r="C238" s="3" t="s">
        <v>357</v>
      </c>
      <c r="D238" s="3" t="s">
        <v>884</v>
      </c>
      <c r="F238" s="3" t="s">
        <v>29</v>
      </c>
      <c r="G238" s="3" t="s">
        <v>330</v>
      </c>
      <c r="H238" s="3" t="s">
        <v>331</v>
      </c>
      <c r="I238" s="4">
        <v>2024.0</v>
      </c>
      <c r="J238" s="3">
        <v>2029.0</v>
      </c>
      <c r="L238" s="3">
        <v>14.9</v>
      </c>
      <c r="M238" s="3" t="s">
        <v>885</v>
      </c>
      <c r="N238" s="7">
        <v>45913.0</v>
      </c>
      <c r="O238" s="3">
        <v>1.0</v>
      </c>
      <c r="P238">
        <f t="shared" si="30"/>
        <v>14.9</v>
      </c>
    </row>
    <row r="239">
      <c r="A239" s="3" t="s">
        <v>886</v>
      </c>
      <c r="B239" s="3">
        <v>2012.0</v>
      </c>
      <c r="C239" s="3" t="s">
        <v>504</v>
      </c>
      <c r="E239" s="3" t="s">
        <v>887</v>
      </c>
      <c r="F239" s="3" t="s">
        <v>22</v>
      </c>
      <c r="G239" s="3" t="s">
        <v>44</v>
      </c>
      <c r="H239" s="3" t="s">
        <v>702</v>
      </c>
      <c r="I239" s="4">
        <v>2016.0</v>
      </c>
      <c r="J239" s="3">
        <v>2030.0</v>
      </c>
      <c r="K239" s="6">
        <v>43588.0</v>
      </c>
      <c r="N239" s="10">
        <v>43750.0</v>
      </c>
      <c r="O239" s="3">
        <v>0.0</v>
      </c>
      <c r="P239" s="8"/>
      <c r="Q239" s="8">
        <v>44876.0</v>
      </c>
      <c r="R239" s="9">
        <v>4.5</v>
      </c>
      <c r="S239" s="3" t="s">
        <v>888</v>
      </c>
    </row>
    <row r="240">
      <c r="A240" s="3" t="s">
        <v>889</v>
      </c>
      <c r="B240" s="3">
        <v>2012.0</v>
      </c>
      <c r="C240" s="3" t="s">
        <v>504</v>
      </c>
      <c r="D240" s="3" t="s">
        <v>890</v>
      </c>
      <c r="F240" s="3" t="s">
        <v>29</v>
      </c>
      <c r="G240" s="3" t="s">
        <v>44</v>
      </c>
      <c r="H240" s="3" t="s">
        <v>702</v>
      </c>
      <c r="I240" s="4">
        <v>2016.0</v>
      </c>
      <c r="J240" s="3">
        <v>2030.0</v>
      </c>
      <c r="K240" s="6">
        <v>43588.0</v>
      </c>
      <c r="L240" s="3">
        <v>15.0</v>
      </c>
      <c r="M240" s="3" t="s">
        <v>118</v>
      </c>
      <c r="N240" s="7">
        <v>43548.0</v>
      </c>
      <c r="O240" s="3">
        <v>0.0</v>
      </c>
      <c r="P240" s="9"/>
      <c r="Q240" s="9" t="s">
        <v>891</v>
      </c>
      <c r="R240" s="9">
        <v>4.0</v>
      </c>
      <c r="S240" s="3" t="s">
        <v>892</v>
      </c>
    </row>
    <row r="241">
      <c r="A241" s="3" t="s">
        <v>893</v>
      </c>
      <c r="B241" s="3">
        <v>2015.0</v>
      </c>
      <c r="C241" s="3" t="s">
        <v>894</v>
      </c>
      <c r="F241" s="3" t="s">
        <v>29</v>
      </c>
      <c r="G241" s="3" t="s">
        <v>44</v>
      </c>
      <c r="H241" s="3" t="s">
        <v>895</v>
      </c>
      <c r="I241" s="4">
        <v>2019.0</v>
      </c>
      <c r="J241" s="3">
        <v>2030.0</v>
      </c>
      <c r="K241" s="6">
        <v>43589.0</v>
      </c>
      <c r="L241" s="3">
        <v>9.9</v>
      </c>
      <c r="M241" s="3" t="s">
        <v>156</v>
      </c>
      <c r="N241" s="7">
        <v>43183.0</v>
      </c>
      <c r="O241" s="3">
        <v>0.0</v>
      </c>
      <c r="P241" s="12"/>
      <c r="Q241" s="12">
        <v>44442.0</v>
      </c>
      <c r="R241" s="9">
        <v>2.5</v>
      </c>
      <c r="S241" s="3" t="s">
        <v>896</v>
      </c>
    </row>
    <row r="242">
      <c r="A242" s="3" t="s">
        <v>897</v>
      </c>
      <c r="B242" s="3">
        <v>2015.0</v>
      </c>
      <c r="C242" s="3" t="s">
        <v>705</v>
      </c>
      <c r="D242" s="3" t="s">
        <v>898</v>
      </c>
      <c r="F242" s="3" t="s">
        <v>29</v>
      </c>
      <c r="G242" s="3" t="s">
        <v>44</v>
      </c>
      <c r="H242" s="3" t="s">
        <v>702</v>
      </c>
      <c r="I242" s="4">
        <v>2020.0</v>
      </c>
      <c r="J242" s="3">
        <v>2030.0</v>
      </c>
      <c r="K242" s="6">
        <v>44320.0</v>
      </c>
      <c r="L242" s="3">
        <v>14.3</v>
      </c>
      <c r="M242" s="3" t="s">
        <v>94</v>
      </c>
      <c r="N242" s="7">
        <v>44310.0</v>
      </c>
      <c r="O242" s="3">
        <v>0.0</v>
      </c>
      <c r="P242" s="9"/>
      <c r="Q242" s="9" t="s">
        <v>899</v>
      </c>
      <c r="R242" s="9" t="s">
        <v>74</v>
      </c>
      <c r="S242" s="3" t="s">
        <v>900</v>
      </c>
    </row>
    <row r="243">
      <c r="A243" s="3" t="s">
        <v>851</v>
      </c>
      <c r="B243" s="3">
        <v>2015.0</v>
      </c>
      <c r="C243" s="3" t="s">
        <v>847</v>
      </c>
      <c r="D243" s="3" t="s">
        <v>852</v>
      </c>
      <c r="F243" s="3" t="s">
        <v>29</v>
      </c>
      <c r="G243" s="3" t="s">
        <v>71</v>
      </c>
      <c r="H243" s="3" t="s">
        <v>848</v>
      </c>
      <c r="I243" s="4">
        <v>2020.0</v>
      </c>
      <c r="J243" s="3">
        <v>2030.0</v>
      </c>
      <c r="K243" s="6">
        <v>43955.0</v>
      </c>
      <c r="L243" s="3">
        <v>15.5</v>
      </c>
      <c r="M243" s="3" t="s">
        <v>55</v>
      </c>
      <c r="N243" s="10">
        <v>44156.0</v>
      </c>
      <c r="O243" s="3">
        <v>0.0</v>
      </c>
      <c r="P243" s="12"/>
      <c r="Q243" s="12">
        <v>45027.0</v>
      </c>
      <c r="R243" s="9">
        <v>3.5</v>
      </c>
      <c r="S243" s="3" t="s">
        <v>901</v>
      </c>
    </row>
    <row r="244">
      <c r="A244" s="3" t="s">
        <v>677</v>
      </c>
      <c r="B244" s="3">
        <v>2023.0</v>
      </c>
      <c r="C244" s="3" t="s">
        <v>373</v>
      </c>
      <c r="D244" s="3" t="s">
        <v>902</v>
      </c>
      <c r="F244" s="3" t="s">
        <v>29</v>
      </c>
      <c r="G244" s="3" t="s">
        <v>163</v>
      </c>
      <c r="H244" s="3" t="s">
        <v>250</v>
      </c>
      <c r="I244" s="4">
        <v>2025.0</v>
      </c>
      <c r="J244" s="3">
        <v>2029.0</v>
      </c>
      <c r="K244" s="6">
        <v>45780.0</v>
      </c>
      <c r="L244" s="3">
        <v>17.0</v>
      </c>
      <c r="M244" s="3" t="s">
        <v>99</v>
      </c>
      <c r="N244" s="7">
        <v>45794.0</v>
      </c>
      <c r="O244" s="3">
        <v>1.0</v>
      </c>
      <c r="P244">
        <f t="shared" ref="P244:P246" si="31">O244*L244</f>
        <v>17</v>
      </c>
      <c r="Q244" s="7">
        <v>45962.0</v>
      </c>
      <c r="R244" s="3">
        <v>4.0</v>
      </c>
      <c r="S244" s="3" t="s">
        <v>903</v>
      </c>
    </row>
    <row r="245">
      <c r="A245" s="3" t="s">
        <v>904</v>
      </c>
      <c r="B245" s="3">
        <v>2020.0</v>
      </c>
      <c r="C245" s="3" t="s">
        <v>905</v>
      </c>
      <c r="F245" s="3" t="s">
        <v>29</v>
      </c>
      <c r="G245" s="3" t="s">
        <v>906</v>
      </c>
      <c r="H245" s="3" t="s">
        <v>905</v>
      </c>
      <c r="I245" s="4">
        <v>2021.0</v>
      </c>
      <c r="J245" s="3">
        <v>2030.0</v>
      </c>
      <c r="K245" s="6">
        <v>44320.0</v>
      </c>
      <c r="L245" s="3">
        <v>5.9</v>
      </c>
      <c r="M245" s="3" t="s">
        <v>184</v>
      </c>
      <c r="N245" s="7">
        <v>44345.0</v>
      </c>
      <c r="O245" s="3">
        <v>0.0</v>
      </c>
      <c r="P245">
        <f t="shared" si="31"/>
        <v>0</v>
      </c>
      <c r="Q245" s="7">
        <v>45399.0</v>
      </c>
      <c r="R245" s="3">
        <v>3.5</v>
      </c>
      <c r="S245" s="3" t="s">
        <v>907</v>
      </c>
    </row>
    <row r="246">
      <c r="A246" s="3" t="s">
        <v>908</v>
      </c>
      <c r="B246" s="3">
        <v>2024.0</v>
      </c>
      <c r="C246" s="3" t="s">
        <v>485</v>
      </c>
      <c r="D246" s="3" t="s">
        <v>909</v>
      </c>
      <c r="F246" s="3" t="s">
        <v>29</v>
      </c>
      <c r="G246" s="3" t="s">
        <v>84</v>
      </c>
      <c r="H246" s="3" t="s">
        <v>487</v>
      </c>
      <c r="I246" s="3">
        <v>2026.0</v>
      </c>
      <c r="J246" s="3">
        <v>2029.0</v>
      </c>
      <c r="K246" s="6">
        <v>45781.0</v>
      </c>
      <c r="M246" s="3">
        <v>0.0</v>
      </c>
      <c r="N246" s="7">
        <v>45907.0</v>
      </c>
      <c r="O246" s="3">
        <v>2.0</v>
      </c>
      <c r="P246">
        <f t="shared" si="31"/>
        <v>0</v>
      </c>
    </row>
    <row r="247">
      <c r="A247" s="3" t="s">
        <v>910</v>
      </c>
      <c r="B247" s="3">
        <v>2020.0</v>
      </c>
      <c r="C247" s="3" t="s">
        <v>625</v>
      </c>
      <c r="F247" s="3" t="s">
        <v>29</v>
      </c>
      <c r="G247" s="3" t="s">
        <v>84</v>
      </c>
      <c r="H247" s="3" t="s">
        <v>447</v>
      </c>
      <c r="I247" s="4">
        <v>2022.0</v>
      </c>
      <c r="J247" s="3">
        <v>2030.0</v>
      </c>
      <c r="K247" s="6">
        <v>44685.0</v>
      </c>
      <c r="M247" s="3" t="s">
        <v>94</v>
      </c>
      <c r="N247" s="7">
        <v>44632.0</v>
      </c>
      <c r="O247" s="3">
        <v>0.0</v>
      </c>
      <c r="P247" s="7"/>
      <c r="Q247" s="7">
        <v>45040.0</v>
      </c>
      <c r="R247" s="3">
        <v>3.5</v>
      </c>
      <c r="S247" s="3" t="s">
        <v>911</v>
      </c>
    </row>
    <row r="248">
      <c r="A248" s="3" t="s">
        <v>400</v>
      </c>
      <c r="B248" s="3">
        <v>2018.0</v>
      </c>
      <c r="C248" s="3" t="s">
        <v>855</v>
      </c>
      <c r="D248" s="3" t="s">
        <v>912</v>
      </c>
      <c r="F248" s="3" t="s">
        <v>29</v>
      </c>
      <c r="G248" s="3" t="s">
        <v>129</v>
      </c>
      <c r="H248" s="3" t="s">
        <v>250</v>
      </c>
      <c r="I248" s="4">
        <v>2021.0</v>
      </c>
      <c r="J248" s="3">
        <v>2030.0</v>
      </c>
      <c r="K248" s="6">
        <v>45051.0</v>
      </c>
      <c r="L248" s="3">
        <v>16.0</v>
      </c>
      <c r="M248" s="3" t="s">
        <v>55</v>
      </c>
      <c r="N248" s="7">
        <v>45186.0</v>
      </c>
      <c r="O248" s="3">
        <v>1.0</v>
      </c>
      <c r="P248">
        <f t="shared" ref="P248:P251" si="32">O248*L248</f>
        <v>16</v>
      </c>
    </row>
    <row r="249">
      <c r="A249" s="3" t="s">
        <v>310</v>
      </c>
      <c r="B249" s="3">
        <v>2018.0</v>
      </c>
      <c r="C249" s="3" t="s">
        <v>913</v>
      </c>
      <c r="F249" s="3" t="s">
        <v>29</v>
      </c>
      <c r="G249" s="3" t="s">
        <v>129</v>
      </c>
      <c r="H249" s="3" t="s">
        <v>250</v>
      </c>
      <c r="I249" s="4">
        <v>2022.0</v>
      </c>
      <c r="J249" s="3">
        <v>2030.0</v>
      </c>
      <c r="K249" s="6">
        <v>44319.0</v>
      </c>
      <c r="L249" s="3">
        <v>21.95</v>
      </c>
      <c r="M249" s="3" t="s">
        <v>165</v>
      </c>
      <c r="N249" s="7">
        <v>44306.0</v>
      </c>
      <c r="O249" s="3">
        <v>1.0</v>
      </c>
      <c r="P249">
        <f t="shared" si="32"/>
        <v>21.95</v>
      </c>
      <c r="Q249" s="7">
        <v>44973.0</v>
      </c>
      <c r="R249" s="3">
        <v>3.5</v>
      </c>
      <c r="S249" s="3" t="s">
        <v>914</v>
      </c>
    </row>
    <row r="250">
      <c r="A250" s="3" t="s">
        <v>915</v>
      </c>
      <c r="B250" s="3">
        <v>2020.0</v>
      </c>
      <c r="C250" s="3" t="s">
        <v>800</v>
      </c>
      <c r="D250" s="3" t="s">
        <v>916</v>
      </c>
      <c r="F250" s="3" t="s">
        <v>29</v>
      </c>
      <c r="G250" s="3" t="s">
        <v>129</v>
      </c>
      <c r="H250" s="3" t="s">
        <v>250</v>
      </c>
      <c r="I250" s="4">
        <v>2023.0</v>
      </c>
      <c r="J250" s="3">
        <v>2030.0</v>
      </c>
      <c r="K250" s="6">
        <v>44685.0</v>
      </c>
      <c r="L250" s="3">
        <v>24.0</v>
      </c>
      <c r="M250" s="3" t="s">
        <v>118</v>
      </c>
      <c r="N250" s="10">
        <v>44888.0</v>
      </c>
      <c r="O250" s="3">
        <v>2.0</v>
      </c>
      <c r="P250">
        <f t="shared" si="32"/>
        <v>48</v>
      </c>
    </row>
    <row r="251">
      <c r="A251" s="3" t="s">
        <v>917</v>
      </c>
      <c r="B251" s="3">
        <v>2020.0</v>
      </c>
      <c r="C251" s="3" t="s">
        <v>918</v>
      </c>
      <c r="D251" s="3" t="s">
        <v>919</v>
      </c>
      <c r="F251" s="3" t="s">
        <v>29</v>
      </c>
      <c r="G251" s="3" t="s">
        <v>71</v>
      </c>
      <c r="H251" s="3" t="s">
        <v>481</v>
      </c>
      <c r="I251" s="4">
        <v>2024.0</v>
      </c>
      <c r="J251" s="3">
        <v>2030.0</v>
      </c>
      <c r="K251" s="6">
        <v>45051.0</v>
      </c>
      <c r="L251" s="3">
        <v>11.0</v>
      </c>
      <c r="M251" s="3" t="s">
        <v>55</v>
      </c>
      <c r="N251" s="7">
        <v>45186.0</v>
      </c>
      <c r="O251" s="3">
        <v>0.0</v>
      </c>
      <c r="P251">
        <f t="shared" si="32"/>
        <v>0</v>
      </c>
      <c r="Q251" s="7">
        <v>45322.0</v>
      </c>
      <c r="R251" s="3">
        <v>1.0</v>
      </c>
      <c r="S251" s="3" t="s">
        <v>920</v>
      </c>
    </row>
    <row r="252">
      <c r="A252" s="3" t="s">
        <v>879</v>
      </c>
      <c r="B252" s="3">
        <v>2020.0</v>
      </c>
      <c r="C252" s="3" t="s">
        <v>811</v>
      </c>
      <c r="D252" s="3" t="s">
        <v>880</v>
      </c>
      <c r="F252" s="3" t="s">
        <v>29</v>
      </c>
      <c r="G252" s="3" t="s">
        <v>154</v>
      </c>
      <c r="H252" s="3" t="s">
        <v>785</v>
      </c>
      <c r="I252" s="3">
        <v>2024.0</v>
      </c>
      <c r="J252" s="3">
        <v>2030.0</v>
      </c>
      <c r="K252" s="6">
        <v>44685.0</v>
      </c>
      <c r="L252" s="3">
        <v>22.0</v>
      </c>
      <c r="M252" s="3" t="s">
        <v>118</v>
      </c>
      <c r="N252" s="7">
        <v>44640.0</v>
      </c>
      <c r="O252" s="3">
        <v>0.0</v>
      </c>
      <c r="P252" s="10"/>
      <c r="Q252" s="10">
        <v>45253.0</v>
      </c>
      <c r="R252" s="3">
        <v>3.5</v>
      </c>
      <c r="S252" s="3" t="s">
        <v>921</v>
      </c>
    </row>
    <row r="253">
      <c r="A253" s="3" t="s">
        <v>922</v>
      </c>
      <c r="B253" s="3">
        <v>2020.0</v>
      </c>
      <c r="C253" s="3" t="s">
        <v>923</v>
      </c>
      <c r="D253" s="3" t="s">
        <v>924</v>
      </c>
      <c r="F253" s="3" t="s">
        <v>22</v>
      </c>
      <c r="G253" s="3" t="s">
        <v>154</v>
      </c>
      <c r="H253" s="3" t="s">
        <v>925</v>
      </c>
      <c r="I253" s="4">
        <v>2023.0</v>
      </c>
      <c r="J253" s="3">
        <v>2030.0</v>
      </c>
      <c r="K253" s="6">
        <v>44319.0</v>
      </c>
      <c r="L253" s="3">
        <v>34.0</v>
      </c>
      <c r="M253" s="3" t="s">
        <v>118</v>
      </c>
      <c r="N253" s="7">
        <v>44531.0</v>
      </c>
      <c r="O253" s="3">
        <v>1.0</v>
      </c>
      <c r="P253">
        <f t="shared" ref="P253:P256" si="33">O253*L253</f>
        <v>34</v>
      </c>
      <c r="Q253" s="7">
        <v>45178.0</v>
      </c>
      <c r="R253" s="3">
        <v>3.0</v>
      </c>
      <c r="S253" s="3" t="s">
        <v>926</v>
      </c>
    </row>
    <row r="254">
      <c r="A254" s="3" t="s">
        <v>927</v>
      </c>
      <c r="B254" s="3">
        <v>2022.0</v>
      </c>
      <c r="C254" s="3" t="s">
        <v>928</v>
      </c>
      <c r="F254" s="3" t="s">
        <v>29</v>
      </c>
      <c r="G254" s="3" t="s">
        <v>84</v>
      </c>
      <c r="H254" s="3" t="s">
        <v>929</v>
      </c>
      <c r="I254" s="3">
        <v>2025.0</v>
      </c>
      <c r="J254" s="3">
        <v>2030.0</v>
      </c>
      <c r="K254" s="6">
        <v>45416.0</v>
      </c>
      <c r="N254" s="7">
        <v>45446.0</v>
      </c>
      <c r="O254" s="3">
        <v>0.0</v>
      </c>
      <c r="P254">
        <f t="shared" si="33"/>
        <v>0</v>
      </c>
      <c r="Q254" s="7">
        <v>45474.0</v>
      </c>
      <c r="R254" s="3">
        <v>2.0</v>
      </c>
      <c r="S254" s="3" t="s">
        <v>930</v>
      </c>
    </row>
    <row r="255">
      <c r="A255" s="3" t="s">
        <v>723</v>
      </c>
      <c r="B255" s="3">
        <v>2020.0</v>
      </c>
      <c r="C255" s="3" t="s">
        <v>724</v>
      </c>
      <c r="D255" s="3" t="s">
        <v>931</v>
      </c>
      <c r="E255" s="3" t="s">
        <v>727</v>
      </c>
      <c r="F255" s="3" t="s">
        <v>29</v>
      </c>
      <c r="G255" s="3" t="s">
        <v>129</v>
      </c>
      <c r="H255" s="3" t="s">
        <v>250</v>
      </c>
      <c r="I255" s="4">
        <v>2023.0</v>
      </c>
      <c r="J255" s="3">
        <v>2030.0</v>
      </c>
      <c r="K255" s="6">
        <v>45050.0</v>
      </c>
      <c r="L255" s="3">
        <v>38.25</v>
      </c>
      <c r="M255" s="3" t="s">
        <v>0</v>
      </c>
      <c r="N255" s="7">
        <v>45073.0</v>
      </c>
      <c r="O255" s="3">
        <v>1.0</v>
      </c>
      <c r="P255">
        <f t="shared" si="33"/>
        <v>38.25</v>
      </c>
    </row>
    <row r="256">
      <c r="A256" s="3" t="s">
        <v>723</v>
      </c>
      <c r="B256" s="3">
        <v>2022.0</v>
      </c>
      <c r="C256" s="3" t="s">
        <v>732</v>
      </c>
      <c r="F256" s="3" t="s">
        <v>29</v>
      </c>
      <c r="G256" s="3" t="s">
        <v>129</v>
      </c>
      <c r="H256" s="3" t="s">
        <v>250</v>
      </c>
      <c r="I256" s="4">
        <v>2024.0</v>
      </c>
      <c r="J256" s="3">
        <v>2030.0</v>
      </c>
      <c r="K256" s="6">
        <v>45781.0</v>
      </c>
      <c r="L256" s="3">
        <v>18.75</v>
      </c>
      <c r="M256" s="3" t="s">
        <v>99</v>
      </c>
      <c r="N256" s="7">
        <v>45815.0</v>
      </c>
      <c r="O256" s="3">
        <v>1.0</v>
      </c>
      <c r="P256">
        <f t="shared" si="33"/>
        <v>18.75</v>
      </c>
    </row>
    <row r="257">
      <c r="A257" s="3" t="s">
        <v>932</v>
      </c>
      <c r="B257" s="3">
        <v>2016.0</v>
      </c>
      <c r="C257" s="3" t="s">
        <v>933</v>
      </c>
      <c r="D257" s="3" t="s">
        <v>934</v>
      </c>
      <c r="E257" s="3" t="s">
        <v>128</v>
      </c>
      <c r="F257" s="3" t="s">
        <v>29</v>
      </c>
      <c r="G257" s="3" t="s">
        <v>129</v>
      </c>
      <c r="H257" s="3" t="s">
        <v>250</v>
      </c>
      <c r="I257" s="4">
        <v>2019.0</v>
      </c>
      <c r="J257" s="3">
        <v>2031.0</v>
      </c>
      <c r="K257" s="6">
        <v>43588.0</v>
      </c>
      <c r="L257" s="3">
        <v>27.0</v>
      </c>
      <c r="M257" s="3" t="s">
        <v>118</v>
      </c>
      <c r="N257" s="7">
        <v>43436.0</v>
      </c>
      <c r="O257" s="3">
        <v>0.0</v>
      </c>
      <c r="P257" s="9"/>
      <c r="Q257" s="9" t="s">
        <v>935</v>
      </c>
      <c r="R257" s="9" t="s">
        <v>229</v>
      </c>
      <c r="S257" s="3" t="s">
        <v>936</v>
      </c>
    </row>
    <row r="258">
      <c r="A258" s="3" t="s">
        <v>937</v>
      </c>
      <c r="B258" s="3">
        <v>2016.0</v>
      </c>
      <c r="C258" s="3" t="s">
        <v>838</v>
      </c>
      <c r="E258" s="3" t="s">
        <v>938</v>
      </c>
      <c r="F258" s="3" t="s">
        <v>29</v>
      </c>
      <c r="G258" s="3" t="s">
        <v>44</v>
      </c>
      <c r="H258" s="3" t="s">
        <v>840</v>
      </c>
      <c r="I258" s="4">
        <v>2020.0</v>
      </c>
      <c r="J258" s="3">
        <v>2031.0</v>
      </c>
      <c r="K258" s="6">
        <v>43590.0</v>
      </c>
      <c r="L258" s="3">
        <v>19.0</v>
      </c>
      <c r="M258" s="3" t="s">
        <v>118</v>
      </c>
      <c r="N258" s="7">
        <v>43548.0</v>
      </c>
      <c r="O258" s="3">
        <v>0.0</v>
      </c>
      <c r="P258">
        <f>O258*L258</f>
        <v>0</v>
      </c>
      <c r="Q258" s="9" t="s">
        <v>939</v>
      </c>
      <c r="R258" s="9" t="s">
        <v>74</v>
      </c>
      <c r="S258" s="3" t="s">
        <v>940</v>
      </c>
    </row>
    <row r="259">
      <c r="A259" s="3" t="s">
        <v>941</v>
      </c>
      <c r="B259" s="3">
        <v>2016.0</v>
      </c>
      <c r="C259" s="3" t="s">
        <v>847</v>
      </c>
      <c r="D259" s="3" t="s">
        <v>942</v>
      </c>
      <c r="F259" s="3" t="s">
        <v>29</v>
      </c>
      <c r="G259" s="3" t="s">
        <v>71</v>
      </c>
      <c r="H259" s="3" t="s">
        <v>943</v>
      </c>
      <c r="I259" s="4">
        <v>2021.0</v>
      </c>
      <c r="J259" s="3">
        <v>2031.0</v>
      </c>
      <c r="K259" s="6">
        <v>44685.0</v>
      </c>
      <c r="L259" s="3">
        <v>12.0</v>
      </c>
      <c r="M259" s="3" t="s">
        <v>118</v>
      </c>
      <c r="N259" s="7">
        <v>44640.0</v>
      </c>
      <c r="O259" s="3">
        <v>0.0</v>
      </c>
      <c r="P259" s="9"/>
      <c r="Q259" s="9" t="s">
        <v>944</v>
      </c>
      <c r="R259" s="3">
        <v>4.0</v>
      </c>
      <c r="S259" s="3" t="s">
        <v>945</v>
      </c>
    </row>
    <row r="260">
      <c r="A260" s="3" t="s">
        <v>946</v>
      </c>
      <c r="B260" s="3">
        <v>2016.0</v>
      </c>
      <c r="C260" s="3" t="s">
        <v>947</v>
      </c>
      <c r="F260" s="3" t="s">
        <v>29</v>
      </c>
      <c r="G260" s="3" t="s">
        <v>44</v>
      </c>
      <c r="H260" s="3" t="s">
        <v>46</v>
      </c>
      <c r="I260" s="4">
        <v>2021.0</v>
      </c>
      <c r="J260" s="3">
        <v>2031.0</v>
      </c>
      <c r="K260" s="6">
        <v>43956.0</v>
      </c>
      <c r="L260" s="3">
        <v>11.0</v>
      </c>
      <c r="M260" s="3" t="s">
        <v>94</v>
      </c>
      <c r="N260" s="7">
        <v>44168.0</v>
      </c>
      <c r="O260" s="3">
        <v>0.0</v>
      </c>
      <c r="P260">
        <f t="shared" ref="P260:P261" si="34">O260*L260</f>
        <v>0</v>
      </c>
      <c r="Q260" s="9" t="s">
        <v>948</v>
      </c>
      <c r="R260" s="9" t="s">
        <v>74</v>
      </c>
      <c r="S260" s="3" t="s">
        <v>949</v>
      </c>
    </row>
    <row r="261">
      <c r="A261" s="3" t="s">
        <v>950</v>
      </c>
      <c r="B261" s="3">
        <v>2022.0</v>
      </c>
      <c r="C261" s="3" t="s">
        <v>254</v>
      </c>
      <c r="F261" s="3" t="s">
        <v>29</v>
      </c>
      <c r="G261" s="3" t="s">
        <v>129</v>
      </c>
      <c r="H261" s="3" t="s">
        <v>250</v>
      </c>
      <c r="I261" s="4">
        <v>2025.0</v>
      </c>
      <c r="J261" s="3">
        <v>2030.0</v>
      </c>
      <c r="K261" s="6">
        <v>45051.0</v>
      </c>
      <c r="L261" s="3">
        <v>29.9</v>
      </c>
      <c r="M261" s="3" t="s">
        <v>885</v>
      </c>
      <c r="N261" s="7">
        <v>45928.0</v>
      </c>
      <c r="O261" s="3">
        <v>1.0</v>
      </c>
      <c r="P261">
        <f t="shared" si="34"/>
        <v>29.9</v>
      </c>
    </row>
    <row r="262">
      <c r="A262" s="3" t="s">
        <v>951</v>
      </c>
      <c r="B262" s="3">
        <v>2016.0</v>
      </c>
      <c r="C262" s="3" t="s">
        <v>947</v>
      </c>
      <c r="F262" s="3" t="s">
        <v>22</v>
      </c>
      <c r="G262" s="3" t="s">
        <v>44</v>
      </c>
      <c r="H262" s="3" t="s">
        <v>952</v>
      </c>
      <c r="I262" s="4">
        <v>2021.0</v>
      </c>
      <c r="J262" s="3">
        <v>2031.0</v>
      </c>
      <c r="K262" s="6">
        <v>43953.0</v>
      </c>
      <c r="L262" s="3">
        <v>11.9</v>
      </c>
      <c r="M262" s="3" t="s">
        <v>270</v>
      </c>
      <c r="N262" s="7">
        <v>43970.0</v>
      </c>
      <c r="O262" s="3">
        <v>0.0</v>
      </c>
      <c r="P262" s="9"/>
      <c r="Q262" s="9" t="s">
        <v>953</v>
      </c>
      <c r="R262" s="9" t="s">
        <v>954</v>
      </c>
      <c r="S262" s="3" t="s">
        <v>955</v>
      </c>
    </row>
    <row r="263">
      <c r="A263" s="3" t="s">
        <v>851</v>
      </c>
      <c r="B263" s="3">
        <v>2016.0</v>
      </c>
      <c r="C263" s="3" t="s">
        <v>847</v>
      </c>
      <c r="D263" s="3" t="s">
        <v>383</v>
      </c>
      <c r="F263" s="3" t="s">
        <v>29</v>
      </c>
      <c r="G263" s="3" t="s">
        <v>71</v>
      </c>
      <c r="H263" s="3" t="s">
        <v>848</v>
      </c>
      <c r="I263" s="4">
        <v>2021.0</v>
      </c>
      <c r="J263" s="3">
        <v>2031.0</v>
      </c>
      <c r="K263" s="6">
        <v>43955.0</v>
      </c>
      <c r="L263" s="3">
        <v>8.8</v>
      </c>
      <c r="M263" s="3" t="s">
        <v>55</v>
      </c>
      <c r="N263" s="10">
        <v>44156.0</v>
      </c>
      <c r="O263" s="3">
        <v>0.0</v>
      </c>
      <c r="P263">
        <f t="shared" ref="P263:P266" si="35">O263*L263</f>
        <v>0</v>
      </c>
      <c r="Q263" s="12">
        <v>45822.0</v>
      </c>
      <c r="R263" s="9">
        <v>3.0</v>
      </c>
      <c r="S263" s="3" t="s">
        <v>956</v>
      </c>
    </row>
    <row r="264">
      <c r="A264" s="3" t="s">
        <v>957</v>
      </c>
      <c r="B264" s="3">
        <v>2019.0</v>
      </c>
      <c r="C264" s="3" t="s">
        <v>958</v>
      </c>
      <c r="D264" s="3" t="s">
        <v>959</v>
      </c>
      <c r="F264" s="3" t="s">
        <v>29</v>
      </c>
      <c r="G264" s="3" t="s">
        <v>44</v>
      </c>
      <c r="H264" s="3" t="s">
        <v>960</v>
      </c>
      <c r="I264" s="4">
        <v>2023.0</v>
      </c>
      <c r="J264" s="3">
        <v>2031.0</v>
      </c>
      <c r="K264" s="6">
        <v>44685.0</v>
      </c>
      <c r="L264" s="3">
        <v>20.0</v>
      </c>
      <c r="M264" s="3" t="s">
        <v>670</v>
      </c>
      <c r="N264" s="10">
        <v>44892.0</v>
      </c>
      <c r="O264" s="3">
        <v>0.0</v>
      </c>
      <c r="P264">
        <f t="shared" si="35"/>
        <v>0</v>
      </c>
      <c r="Q264" s="7">
        <v>45695.0</v>
      </c>
      <c r="R264" s="3">
        <v>4.0</v>
      </c>
      <c r="S264" s="3" t="s">
        <v>961</v>
      </c>
    </row>
    <row r="265">
      <c r="A265" s="3" t="s">
        <v>962</v>
      </c>
      <c r="B265" s="3">
        <v>2022.0</v>
      </c>
      <c r="C265" s="3" t="s">
        <v>254</v>
      </c>
      <c r="D265" s="3" t="s">
        <v>553</v>
      </c>
      <c r="E265" s="3" t="s">
        <v>727</v>
      </c>
      <c r="F265" s="3" t="s">
        <v>29</v>
      </c>
      <c r="G265" s="3" t="s">
        <v>129</v>
      </c>
      <c r="H265" s="3" t="s">
        <v>250</v>
      </c>
      <c r="I265" s="4">
        <v>2025.0</v>
      </c>
      <c r="J265" s="3">
        <v>2030.0</v>
      </c>
      <c r="K265" s="6">
        <v>45051.0</v>
      </c>
      <c r="L265" s="3">
        <v>35.0</v>
      </c>
      <c r="M265" s="3" t="s">
        <v>118</v>
      </c>
      <c r="N265" s="10">
        <v>45259.0</v>
      </c>
      <c r="O265" s="3">
        <v>2.0</v>
      </c>
      <c r="P265">
        <f t="shared" si="35"/>
        <v>70</v>
      </c>
    </row>
    <row r="266">
      <c r="A266" s="3" t="s">
        <v>746</v>
      </c>
      <c r="B266" s="3">
        <v>2023.0</v>
      </c>
      <c r="C266" s="3" t="s">
        <v>652</v>
      </c>
      <c r="D266" s="3" t="s">
        <v>815</v>
      </c>
      <c r="F266" s="3" t="s">
        <v>22</v>
      </c>
      <c r="G266" s="3" t="s">
        <v>129</v>
      </c>
      <c r="H266" s="3" t="s">
        <v>93</v>
      </c>
      <c r="I266" s="4">
        <v>2025.0</v>
      </c>
      <c r="J266" s="3">
        <v>2030.0</v>
      </c>
      <c r="K266" s="6">
        <v>45782.0</v>
      </c>
      <c r="L266" s="3">
        <v>15.1</v>
      </c>
      <c r="M266" s="3" t="s">
        <v>99</v>
      </c>
      <c r="N266" s="7">
        <v>45815.0</v>
      </c>
      <c r="O266" s="3">
        <v>3.0</v>
      </c>
      <c r="P266">
        <f t="shared" si="35"/>
        <v>45.3</v>
      </c>
      <c r="Q266" s="10">
        <v>45955.0</v>
      </c>
      <c r="R266" s="3">
        <v>4.5</v>
      </c>
      <c r="S266" s="3" t="s">
        <v>963</v>
      </c>
    </row>
    <row r="267">
      <c r="A267" s="3" t="s">
        <v>964</v>
      </c>
      <c r="B267" s="3">
        <v>2017.0</v>
      </c>
      <c r="C267" s="3" t="s">
        <v>965</v>
      </c>
      <c r="D267" s="3" t="s">
        <v>966</v>
      </c>
      <c r="F267" s="3" t="s">
        <v>22</v>
      </c>
      <c r="G267" s="3" t="s">
        <v>129</v>
      </c>
      <c r="H267" s="3" t="s">
        <v>93</v>
      </c>
      <c r="I267" s="4">
        <v>2020.0</v>
      </c>
      <c r="J267" s="3">
        <v>2032.0</v>
      </c>
      <c r="K267" s="6">
        <v>43589.0</v>
      </c>
      <c r="L267" s="3">
        <v>17.2</v>
      </c>
      <c r="M267" s="3" t="s">
        <v>118</v>
      </c>
      <c r="N267" s="7">
        <v>43548.0</v>
      </c>
      <c r="O267" s="3">
        <v>0.0</v>
      </c>
      <c r="P267" s="9"/>
      <c r="Q267" s="9" t="s">
        <v>967</v>
      </c>
      <c r="R267" s="9" t="s">
        <v>537</v>
      </c>
      <c r="S267" s="3" t="s">
        <v>968</v>
      </c>
    </row>
    <row r="268">
      <c r="A268" s="3" t="s">
        <v>969</v>
      </c>
      <c r="B268" s="3">
        <v>2016.0</v>
      </c>
      <c r="C268" s="3" t="s">
        <v>847</v>
      </c>
      <c r="D268" s="3" t="s">
        <v>970</v>
      </c>
      <c r="F268" s="3" t="s">
        <v>29</v>
      </c>
      <c r="G268" s="3" t="s">
        <v>71</v>
      </c>
      <c r="H268" s="3" t="s">
        <v>943</v>
      </c>
      <c r="I268" s="4">
        <v>2021.0</v>
      </c>
      <c r="J268" s="3">
        <v>2031.0</v>
      </c>
      <c r="K268" s="6">
        <v>44320.0</v>
      </c>
      <c r="L268" s="3">
        <v>12.9</v>
      </c>
      <c r="M268" s="3" t="s">
        <v>270</v>
      </c>
      <c r="N268" s="7">
        <v>44434.0</v>
      </c>
      <c r="O268" s="3">
        <v>1.0</v>
      </c>
      <c r="P268">
        <f>O268*L268</f>
        <v>12.9</v>
      </c>
      <c r="Q268" s="9" t="s">
        <v>971</v>
      </c>
      <c r="R268" s="9" t="s">
        <v>408</v>
      </c>
      <c r="S268" s="3" t="s">
        <v>972</v>
      </c>
    </row>
    <row r="269">
      <c r="A269" s="3" t="s">
        <v>973</v>
      </c>
      <c r="B269" s="3">
        <v>2017.0</v>
      </c>
      <c r="C269" s="3" t="s">
        <v>894</v>
      </c>
      <c r="F269" s="3" t="s">
        <v>29</v>
      </c>
      <c r="G269" s="3" t="s">
        <v>44</v>
      </c>
      <c r="H269" s="3" t="s">
        <v>895</v>
      </c>
      <c r="I269" s="4">
        <v>2021.0</v>
      </c>
      <c r="J269" s="3">
        <v>2032.0</v>
      </c>
      <c r="K269" s="6">
        <v>43954.0</v>
      </c>
      <c r="M269" s="3" t="s">
        <v>261</v>
      </c>
      <c r="N269" s="10">
        <v>43825.0</v>
      </c>
      <c r="O269" s="3">
        <v>0.0</v>
      </c>
      <c r="P269" s="7"/>
      <c r="Q269" s="7">
        <v>44313.0</v>
      </c>
      <c r="R269" s="3">
        <v>1.0</v>
      </c>
      <c r="S269" s="3" t="s">
        <v>974</v>
      </c>
    </row>
    <row r="270">
      <c r="A270" s="3" t="s">
        <v>975</v>
      </c>
      <c r="B270" s="3">
        <v>2020.0</v>
      </c>
      <c r="C270" s="3" t="s">
        <v>625</v>
      </c>
      <c r="D270" s="3" t="s">
        <v>976</v>
      </c>
      <c r="F270" s="3" t="s">
        <v>29</v>
      </c>
      <c r="G270" s="3" t="s">
        <v>84</v>
      </c>
      <c r="H270" s="3" t="s">
        <v>447</v>
      </c>
      <c r="I270" s="3">
        <v>2022.0</v>
      </c>
      <c r="J270" s="3">
        <v>2031.0</v>
      </c>
      <c r="K270" s="6">
        <v>45780.0</v>
      </c>
      <c r="M270" s="3" t="s">
        <v>99</v>
      </c>
      <c r="N270" s="7">
        <v>45905.0</v>
      </c>
      <c r="O270" s="3">
        <v>1.0</v>
      </c>
      <c r="P270">
        <f t="shared" ref="P270:P273" si="36">O270*L270</f>
        <v>0</v>
      </c>
    </row>
    <row r="271">
      <c r="A271" s="3" t="s">
        <v>977</v>
      </c>
      <c r="B271" s="3">
        <v>2021.0</v>
      </c>
      <c r="C271" s="3" t="s">
        <v>811</v>
      </c>
      <c r="D271" s="3" t="s">
        <v>978</v>
      </c>
      <c r="F271" s="3" t="s">
        <v>29</v>
      </c>
      <c r="G271" s="3" t="s">
        <v>154</v>
      </c>
      <c r="H271" s="3" t="s">
        <v>785</v>
      </c>
      <c r="I271" s="4">
        <v>2025.0</v>
      </c>
      <c r="J271" s="3">
        <v>2031.0</v>
      </c>
      <c r="K271" s="6">
        <v>44684.0</v>
      </c>
      <c r="M271" s="3" t="s">
        <v>979</v>
      </c>
      <c r="N271" s="7">
        <v>44898.0</v>
      </c>
      <c r="O271" s="3">
        <v>1.0</v>
      </c>
      <c r="P271">
        <f t="shared" si="36"/>
        <v>0</v>
      </c>
    </row>
    <row r="272">
      <c r="A272" s="3" t="s">
        <v>980</v>
      </c>
      <c r="B272" s="3">
        <v>2014.0</v>
      </c>
      <c r="C272" s="3" t="s">
        <v>504</v>
      </c>
      <c r="D272" s="3" t="s">
        <v>981</v>
      </c>
      <c r="F272" s="3" t="s">
        <v>29</v>
      </c>
      <c r="G272" s="3" t="s">
        <v>44</v>
      </c>
      <c r="H272" s="3" t="s">
        <v>702</v>
      </c>
      <c r="I272" s="4">
        <v>2018.0</v>
      </c>
      <c r="J272" s="3">
        <v>2032.0</v>
      </c>
      <c r="K272" s="6">
        <v>43588.0</v>
      </c>
      <c r="M272" s="3" t="s">
        <v>841</v>
      </c>
      <c r="N272" s="7">
        <v>42913.0</v>
      </c>
      <c r="O272" s="3">
        <v>1.0</v>
      </c>
      <c r="P272">
        <f t="shared" si="36"/>
        <v>0</v>
      </c>
      <c r="Q272" s="13"/>
      <c r="R272" s="13"/>
    </row>
    <row r="273">
      <c r="A273" s="3" t="s">
        <v>982</v>
      </c>
      <c r="B273" s="3">
        <v>2017.0</v>
      </c>
      <c r="C273" s="3" t="s">
        <v>838</v>
      </c>
      <c r="D273" s="3" t="s">
        <v>983</v>
      </c>
      <c r="F273" s="3" t="s">
        <v>29</v>
      </c>
      <c r="G273" s="3" t="s">
        <v>44</v>
      </c>
      <c r="H273" s="3" t="s">
        <v>840</v>
      </c>
      <c r="I273" s="4">
        <v>2021.0</v>
      </c>
      <c r="J273" s="3">
        <v>2032.0</v>
      </c>
      <c r="K273" s="6">
        <v>43954.0</v>
      </c>
      <c r="L273" s="3">
        <v>12.5</v>
      </c>
      <c r="M273" s="3" t="s">
        <v>140</v>
      </c>
      <c r="N273" s="10">
        <v>44147.0</v>
      </c>
      <c r="O273" s="3">
        <v>1.0</v>
      </c>
      <c r="P273">
        <f t="shared" si="36"/>
        <v>12.5</v>
      </c>
      <c r="Q273" s="7">
        <v>45200.0</v>
      </c>
      <c r="R273" s="3">
        <v>4.0</v>
      </c>
      <c r="S273" s="3" t="s">
        <v>984</v>
      </c>
    </row>
    <row r="274">
      <c r="A274" s="3" t="s">
        <v>985</v>
      </c>
      <c r="B274" s="3">
        <v>2018.0</v>
      </c>
      <c r="C274" s="3" t="s">
        <v>832</v>
      </c>
      <c r="D274" s="3" t="s">
        <v>986</v>
      </c>
      <c r="F274" s="3" t="s">
        <v>22</v>
      </c>
      <c r="G274" s="3" t="s">
        <v>129</v>
      </c>
      <c r="H274" s="3" t="s">
        <v>93</v>
      </c>
      <c r="I274" s="4">
        <v>2021.0</v>
      </c>
      <c r="J274" s="3">
        <v>2033.0</v>
      </c>
      <c r="K274" s="6">
        <v>43955.0</v>
      </c>
      <c r="L274" s="3">
        <v>18.9</v>
      </c>
      <c r="M274" s="3" t="s">
        <v>270</v>
      </c>
      <c r="N274" s="7">
        <v>44012.0</v>
      </c>
      <c r="O274" s="3">
        <v>0.0</v>
      </c>
      <c r="P274" s="9"/>
      <c r="Q274" s="9" t="s">
        <v>987</v>
      </c>
      <c r="R274" s="9" t="s">
        <v>988</v>
      </c>
      <c r="S274" s="3" t="s">
        <v>989</v>
      </c>
    </row>
    <row r="275">
      <c r="A275" s="3" t="s">
        <v>651</v>
      </c>
      <c r="B275" s="3">
        <v>2018.0</v>
      </c>
      <c r="C275" s="3" t="s">
        <v>832</v>
      </c>
      <c r="D275" s="3" t="s">
        <v>146</v>
      </c>
      <c r="F275" s="3" t="s">
        <v>22</v>
      </c>
      <c r="G275" s="3" t="s">
        <v>129</v>
      </c>
      <c r="H275" s="3" t="s">
        <v>93</v>
      </c>
      <c r="I275" s="4">
        <v>2021.0</v>
      </c>
      <c r="J275" s="3">
        <v>2033.0</v>
      </c>
      <c r="K275" s="6">
        <v>44685.0</v>
      </c>
      <c r="L275" s="3">
        <v>15.3</v>
      </c>
      <c r="M275" s="3" t="s">
        <v>118</v>
      </c>
      <c r="N275" s="7">
        <v>44640.0</v>
      </c>
      <c r="O275" s="3">
        <v>0.0</v>
      </c>
      <c r="P275" s="9"/>
      <c r="Q275" s="9" t="s">
        <v>990</v>
      </c>
      <c r="R275" s="9" t="s">
        <v>74</v>
      </c>
      <c r="S275" s="3" t="s">
        <v>991</v>
      </c>
    </row>
    <row r="276">
      <c r="A276" s="3" t="s">
        <v>975</v>
      </c>
      <c r="B276" s="3">
        <v>2021.0</v>
      </c>
      <c r="C276" s="3" t="s">
        <v>625</v>
      </c>
      <c r="D276" s="3" t="s">
        <v>992</v>
      </c>
      <c r="F276" s="3" t="s">
        <v>29</v>
      </c>
      <c r="G276" s="3" t="s">
        <v>84</v>
      </c>
      <c r="H276" s="3" t="s">
        <v>447</v>
      </c>
      <c r="I276" s="3">
        <v>2023.0</v>
      </c>
      <c r="J276" s="3">
        <v>2032.0</v>
      </c>
      <c r="K276" s="6">
        <v>45780.0</v>
      </c>
      <c r="M276" s="3" t="s">
        <v>99</v>
      </c>
      <c r="N276" s="7">
        <v>45905.0</v>
      </c>
      <c r="O276" s="3">
        <v>1.0</v>
      </c>
      <c r="P276">
        <f t="shared" ref="P276:P278" si="37">O276*L276</f>
        <v>0</v>
      </c>
    </row>
    <row r="277">
      <c r="A277" s="3" t="s">
        <v>381</v>
      </c>
      <c r="B277" s="3">
        <v>2022.0</v>
      </c>
      <c r="C277" s="3" t="s">
        <v>41</v>
      </c>
      <c r="D277" s="3" t="s">
        <v>383</v>
      </c>
      <c r="F277" s="3" t="s">
        <v>22</v>
      </c>
      <c r="G277" s="3" t="s">
        <v>23</v>
      </c>
      <c r="H277" s="3" t="s">
        <v>41</v>
      </c>
      <c r="I277" s="4">
        <v>2024.0</v>
      </c>
      <c r="J277" s="3">
        <v>2032.0</v>
      </c>
      <c r="K277" s="6">
        <v>45417.0</v>
      </c>
      <c r="L277" s="3">
        <v>9.7</v>
      </c>
      <c r="M277" s="3" t="s">
        <v>55</v>
      </c>
      <c r="N277" s="7">
        <v>45557.0</v>
      </c>
      <c r="O277" s="3">
        <v>2.0</v>
      </c>
      <c r="P277">
        <f t="shared" si="37"/>
        <v>19.4</v>
      </c>
    </row>
    <row r="278">
      <c r="A278" s="3" t="s">
        <v>501</v>
      </c>
      <c r="B278" s="3">
        <v>2022.0</v>
      </c>
      <c r="C278" s="3" t="s">
        <v>186</v>
      </c>
      <c r="D278" s="3" t="s">
        <v>993</v>
      </c>
      <c r="F278" s="3" t="s">
        <v>29</v>
      </c>
      <c r="G278" s="3" t="s">
        <v>44</v>
      </c>
      <c r="H278" s="3" t="s">
        <v>59</v>
      </c>
      <c r="I278" s="4">
        <v>2024.0</v>
      </c>
      <c r="J278" s="3">
        <v>2032.0</v>
      </c>
      <c r="K278" s="6">
        <v>45417.0</v>
      </c>
      <c r="L278" s="3">
        <v>12.0</v>
      </c>
      <c r="M278" s="3" t="s">
        <v>55</v>
      </c>
      <c r="N278" s="9" t="s">
        <v>994</v>
      </c>
      <c r="O278" s="3">
        <v>1.0</v>
      </c>
      <c r="P278">
        <f t="shared" si="37"/>
        <v>12</v>
      </c>
      <c r="Q278" s="7">
        <v>45707.0</v>
      </c>
      <c r="R278" s="3">
        <v>4.0</v>
      </c>
      <c r="S278" s="3" t="s">
        <v>995</v>
      </c>
    </row>
    <row r="279">
      <c r="A279" s="3" t="s">
        <v>996</v>
      </c>
      <c r="B279" s="3">
        <v>2018.0</v>
      </c>
      <c r="C279" s="3" t="s">
        <v>997</v>
      </c>
      <c r="D279" s="3" t="s">
        <v>998</v>
      </c>
      <c r="F279" s="3" t="s">
        <v>29</v>
      </c>
      <c r="G279" s="3" t="s">
        <v>163</v>
      </c>
      <c r="H279" s="3" t="s">
        <v>999</v>
      </c>
      <c r="I279" s="4">
        <v>2022.0</v>
      </c>
      <c r="J279" s="3">
        <v>2033.0</v>
      </c>
      <c r="K279" s="6">
        <v>43955.0</v>
      </c>
      <c r="L279" s="3">
        <v>8.9</v>
      </c>
      <c r="M279" s="3" t="s">
        <v>270</v>
      </c>
      <c r="N279" s="7">
        <v>43947.0</v>
      </c>
      <c r="O279" s="3">
        <v>0.0</v>
      </c>
      <c r="P279" s="9"/>
      <c r="Q279" s="9" t="s">
        <v>1000</v>
      </c>
      <c r="R279" s="9" t="s">
        <v>1001</v>
      </c>
      <c r="S279" s="3" t="s">
        <v>1002</v>
      </c>
    </row>
    <row r="280">
      <c r="A280" s="3" t="s">
        <v>723</v>
      </c>
      <c r="B280" s="3">
        <v>2022.0</v>
      </c>
      <c r="C280" s="3" t="s">
        <v>724</v>
      </c>
      <c r="F280" s="3" t="s">
        <v>29</v>
      </c>
      <c r="G280" s="3" t="s">
        <v>129</v>
      </c>
      <c r="H280" s="3" t="s">
        <v>250</v>
      </c>
      <c r="I280" s="4">
        <v>2025.0</v>
      </c>
      <c r="J280" s="3">
        <v>2032.0</v>
      </c>
      <c r="K280" s="6">
        <v>45781.0</v>
      </c>
      <c r="L280" s="3">
        <v>29.15</v>
      </c>
      <c r="M280" s="3" t="s">
        <v>99</v>
      </c>
      <c r="N280" s="7">
        <v>45815.0</v>
      </c>
      <c r="O280" s="3">
        <v>1.0</v>
      </c>
      <c r="P280">
        <f t="shared" ref="P280:P281" si="38">O280*L280</f>
        <v>29.15</v>
      </c>
    </row>
    <row r="281">
      <c r="A281" s="3" t="s">
        <v>1003</v>
      </c>
      <c r="B281" s="3">
        <v>2013.0</v>
      </c>
      <c r="C281" s="3" t="s">
        <v>1004</v>
      </c>
      <c r="F281" s="3" t="s">
        <v>29</v>
      </c>
      <c r="G281" s="3" t="s">
        <v>44</v>
      </c>
      <c r="H281" s="3" t="s">
        <v>702</v>
      </c>
      <c r="I281" s="4">
        <v>2018.0</v>
      </c>
      <c r="J281" s="3">
        <v>2033.0</v>
      </c>
      <c r="K281" s="6">
        <v>44682.0</v>
      </c>
      <c r="L281" s="3">
        <v>24.9</v>
      </c>
      <c r="M281" s="3" t="s">
        <v>270</v>
      </c>
      <c r="N281" s="7">
        <v>44245.0</v>
      </c>
      <c r="O281" s="3">
        <v>6.0</v>
      </c>
      <c r="P281">
        <f t="shared" si="38"/>
        <v>149.4</v>
      </c>
      <c r="S281" s="3" t="s">
        <v>1005</v>
      </c>
    </row>
    <row r="282">
      <c r="A282" s="3" t="s">
        <v>1006</v>
      </c>
      <c r="B282" s="3">
        <v>2018.0</v>
      </c>
      <c r="C282" s="3" t="s">
        <v>1007</v>
      </c>
      <c r="D282" s="3" t="s">
        <v>1008</v>
      </c>
      <c r="F282" s="3" t="s">
        <v>29</v>
      </c>
      <c r="G282" s="3" t="s">
        <v>154</v>
      </c>
      <c r="H282" s="3" t="s">
        <v>1009</v>
      </c>
      <c r="I282" s="4">
        <v>2022.0</v>
      </c>
      <c r="J282" s="3">
        <v>2033.0</v>
      </c>
      <c r="K282" s="6">
        <v>43955.0</v>
      </c>
      <c r="L282" s="3">
        <v>27.6</v>
      </c>
      <c r="M282" s="3" t="s">
        <v>190</v>
      </c>
      <c r="N282" s="7">
        <v>44107.0</v>
      </c>
      <c r="O282" s="3">
        <v>0.0</v>
      </c>
      <c r="P282" s="7"/>
      <c r="Q282" s="7">
        <v>45178.0</v>
      </c>
      <c r="R282" s="3">
        <v>4.0</v>
      </c>
      <c r="S282" s="3" t="s">
        <v>1010</v>
      </c>
    </row>
    <row r="283">
      <c r="A283" s="3" t="s">
        <v>1011</v>
      </c>
      <c r="B283" s="3">
        <v>2018.0</v>
      </c>
      <c r="C283" s="3" t="s">
        <v>1012</v>
      </c>
      <c r="D283" s="3" t="s">
        <v>1013</v>
      </c>
      <c r="F283" s="3" t="s">
        <v>22</v>
      </c>
      <c r="G283" s="3" t="s">
        <v>129</v>
      </c>
      <c r="H283" s="3" t="s">
        <v>93</v>
      </c>
      <c r="I283" s="4">
        <v>2021.0</v>
      </c>
      <c r="J283" s="3">
        <v>2033.0</v>
      </c>
      <c r="K283" s="6">
        <v>44320.0</v>
      </c>
      <c r="L283" s="3">
        <v>29.99</v>
      </c>
      <c r="M283" s="3" t="s">
        <v>190</v>
      </c>
      <c r="N283" s="7">
        <v>44459.0</v>
      </c>
      <c r="O283" s="3">
        <v>1.0</v>
      </c>
      <c r="P283">
        <f t="shared" ref="P283:P284" si="39">O283*L283</f>
        <v>29.99</v>
      </c>
    </row>
    <row r="284">
      <c r="A284" s="3" t="s">
        <v>1014</v>
      </c>
      <c r="B284" s="3">
        <v>2009.0</v>
      </c>
      <c r="C284" s="3" t="s">
        <v>1015</v>
      </c>
      <c r="D284" s="3" t="s">
        <v>1016</v>
      </c>
      <c r="E284" s="3" t="s">
        <v>110</v>
      </c>
      <c r="F284" s="3" t="s">
        <v>29</v>
      </c>
      <c r="G284" s="3" t="s">
        <v>44</v>
      </c>
      <c r="H284" s="3" t="s">
        <v>59</v>
      </c>
      <c r="I284" s="4">
        <v>2013.0</v>
      </c>
      <c r="J284" s="3">
        <v>2034.0</v>
      </c>
      <c r="K284" s="6">
        <v>43590.0</v>
      </c>
      <c r="L284" s="3">
        <v>16.5</v>
      </c>
      <c r="M284" s="3" t="s">
        <v>130</v>
      </c>
      <c r="N284" s="7">
        <v>43514.0</v>
      </c>
      <c r="O284" s="3">
        <v>0.0</v>
      </c>
      <c r="P284">
        <f t="shared" si="39"/>
        <v>0</v>
      </c>
      <c r="Q284" s="9" t="s">
        <v>1017</v>
      </c>
      <c r="R284" s="9" t="s">
        <v>1018</v>
      </c>
      <c r="S284" s="3" t="s">
        <v>1019</v>
      </c>
    </row>
    <row r="285">
      <c r="A285" s="3" t="s">
        <v>1020</v>
      </c>
      <c r="B285" s="3">
        <v>2014.0</v>
      </c>
      <c r="C285" s="3" t="s">
        <v>1004</v>
      </c>
      <c r="F285" s="3" t="s">
        <v>29</v>
      </c>
      <c r="G285" s="3" t="s">
        <v>44</v>
      </c>
      <c r="H285" s="3" t="s">
        <v>702</v>
      </c>
      <c r="I285" s="4">
        <v>2019.0</v>
      </c>
      <c r="J285" s="3">
        <v>2034.0</v>
      </c>
      <c r="K285" s="6">
        <v>43588.0</v>
      </c>
      <c r="L285" s="3">
        <v>6.95</v>
      </c>
      <c r="M285" s="3" t="s">
        <v>147</v>
      </c>
      <c r="N285" s="10">
        <v>43092.0</v>
      </c>
      <c r="O285" s="3">
        <v>0.0</v>
      </c>
      <c r="P285" s="12"/>
      <c r="Q285" s="12">
        <v>44465.0</v>
      </c>
      <c r="R285" s="13"/>
      <c r="S285" s="3" t="s">
        <v>1021</v>
      </c>
    </row>
    <row r="286">
      <c r="A286" s="3" t="s">
        <v>1022</v>
      </c>
      <c r="B286" s="3">
        <v>2014.0</v>
      </c>
      <c r="C286" s="3" t="s">
        <v>1004</v>
      </c>
      <c r="E286" s="3" t="s">
        <v>424</v>
      </c>
      <c r="F286" s="3" t="s">
        <v>29</v>
      </c>
      <c r="G286" s="3" t="s">
        <v>44</v>
      </c>
      <c r="H286" s="3" t="s">
        <v>702</v>
      </c>
      <c r="I286" s="4">
        <v>2019.0</v>
      </c>
      <c r="J286" s="3">
        <v>2034.0</v>
      </c>
      <c r="K286" s="6">
        <v>44319.0</v>
      </c>
      <c r="L286" s="3">
        <v>9.99</v>
      </c>
      <c r="M286" s="3" t="s">
        <v>235</v>
      </c>
      <c r="N286" s="7">
        <v>44464.0</v>
      </c>
      <c r="O286" s="3">
        <v>0.0</v>
      </c>
      <c r="P286" s="7"/>
      <c r="Q286" s="7">
        <v>44569.0</v>
      </c>
      <c r="R286" s="3">
        <v>4.0</v>
      </c>
      <c r="S286" s="3" t="s">
        <v>1023</v>
      </c>
    </row>
    <row r="287">
      <c r="A287" s="3" t="s">
        <v>1024</v>
      </c>
      <c r="B287" s="3">
        <v>2018.0</v>
      </c>
      <c r="C287" s="3" t="s">
        <v>1025</v>
      </c>
      <c r="F287" s="3" t="s">
        <v>29</v>
      </c>
      <c r="G287" s="3" t="s">
        <v>129</v>
      </c>
      <c r="H287" s="3" t="s">
        <v>250</v>
      </c>
      <c r="I287" s="4">
        <v>2022.0</v>
      </c>
      <c r="J287" s="3">
        <v>2033.0</v>
      </c>
      <c r="K287" s="6">
        <v>43954.0</v>
      </c>
      <c r="L287" s="3">
        <v>44.99</v>
      </c>
      <c r="M287" s="3" t="s">
        <v>270</v>
      </c>
      <c r="N287" s="10">
        <v>45213.0</v>
      </c>
      <c r="O287" s="3">
        <v>3.0</v>
      </c>
      <c r="P287">
        <f>O287*L287</f>
        <v>134.97</v>
      </c>
    </row>
    <row r="288">
      <c r="A288" s="3" t="s">
        <v>1026</v>
      </c>
      <c r="B288" s="3">
        <v>2019.0</v>
      </c>
      <c r="C288" s="3" t="s">
        <v>1027</v>
      </c>
      <c r="D288" s="3" t="s">
        <v>1028</v>
      </c>
      <c r="F288" s="3" t="s">
        <v>40</v>
      </c>
      <c r="G288" s="3" t="s">
        <v>163</v>
      </c>
      <c r="H288" s="3" t="s">
        <v>24</v>
      </c>
      <c r="I288" s="4">
        <v>2021.0</v>
      </c>
      <c r="J288" s="3">
        <v>2034.0</v>
      </c>
      <c r="K288" s="6">
        <v>45049.0</v>
      </c>
      <c r="M288" s="3" t="s">
        <v>1029</v>
      </c>
      <c r="N288" s="7">
        <v>45030.0</v>
      </c>
      <c r="O288" s="3">
        <v>0.0</v>
      </c>
      <c r="P288" s="7"/>
      <c r="Q288" s="7">
        <v>45231.0</v>
      </c>
      <c r="R288" s="3">
        <v>3.0</v>
      </c>
      <c r="S288" s="3" t="s">
        <v>1030</v>
      </c>
    </row>
    <row r="289">
      <c r="A289" s="3" t="s">
        <v>737</v>
      </c>
      <c r="B289" s="3">
        <v>2019.0</v>
      </c>
      <c r="C289" s="3" t="s">
        <v>832</v>
      </c>
      <c r="D289" s="3" t="s">
        <v>1031</v>
      </c>
      <c r="E289" s="3"/>
      <c r="F289" s="3" t="s">
        <v>22</v>
      </c>
      <c r="G289" s="3" t="s">
        <v>129</v>
      </c>
      <c r="H289" s="3" t="s">
        <v>93</v>
      </c>
      <c r="I289" s="4">
        <v>2022.0</v>
      </c>
      <c r="J289" s="3">
        <v>2034.0</v>
      </c>
      <c r="K289" s="6">
        <v>44320.0</v>
      </c>
      <c r="L289" s="3">
        <v>19.8</v>
      </c>
      <c r="M289" s="3" t="s">
        <v>118</v>
      </c>
      <c r="N289" s="7">
        <v>44531.0</v>
      </c>
      <c r="O289" s="3">
        <v>0.0</v>
      </c>
      <c r="P289">
        <f t="shared" ref="P289:P297" si="40">O289*L289</f>
        <v>0</v>
      </c>
      <c r="Q289" s="9" t="s">
        <v>1032</v>
      </c>
      <c r="R289" s="9" t="s">
        <v>107</v>
      </c>
      <c r="S289" s="3" t="s">
        <v>1033</v>
      </c>
    </row>
    <row r="290">
      <c r="A290" s="3" t="s">
        <v>1034</v>
      </c>
      <c r="B290" s="3">
        <v>2019.0</v>
      </c>
      <c r="C290" s="3" t="s">
        <v>832</v>
      </c>
      <c r="D290" s="3" t="s">
        <v>1035</v>
      </c>
      <c r="F290" s="3" t="s">
        <v>22</v>
      </c>
      <c r="G290" s="3" t="s">
        <v>129</v>
      </c>
      <c r="H290" s="3" t="s">
        <v>93</v>
      </c>
      <c r="I290" s="4">
        <v>2022.0</v>
      </c>
      <c r="J290" s="3">
        <v>2034.0</v>
      </c>
      <c r="K290" s="6">
        <v>44685.0</v>
      </c>
      <c r="L290" s="3">
        <v>24.5</v>
      </c>
      <c r="M290" s="3" t="s">
        <v>118</v>
      </c>
      <c r="N290" s="10">
        <v>44888.0</v>
      </c>
      <c r="O290" s="3">
        <v>0.0</v>
      </c>
      <c r="P290">
        <f t="shared" si="40"/>
        <v>0</v>
      </c>
      <c r="Q290" s="9" t="s">
        <v>1036</v>
      </c>
      <c r="R290" s="9" t="s">
        <v>649</v>
      </c>
      <c r="S290" s="3" t="s">
        <v>1037</v>
      </c>
    </row>
    <row r="291">
      <c r="A291" s="16" t="s">
        <v>837</v>
      </c>
      <c r="B291" s="3">
        <v>2018.0</v>
      </c>
      <c r="C291" s="16" t="s">
        <v>838</v>
      </c>
      <c r="F291" s="3" t="s">
        <v>29</v>
      </c>
      <c r="G291" s="3" t="s">
        <v>44</v>
      </c>
      <c r="H291" s="3" t="s">
        <v>840</v>
      </c>
      <c r="I291" s="4">
        <v>2022.0</v>
      </c>
      <c r="J291" s="3">
        <v>2033.0</v>
      </c>
      <c r="K291" s="6">
        <v>44321.0</v>
      </c>
      <c r="L291" s="3">
        <v>31.5</v>
      </c>
      <c r="M291" s="3" t="s">
        <v>190</v>
      </c>
      <c r="N291" s="7">
        <v>44459.0</v>
      </c>
      <c r="O291" s="3">
        <v>1.0</v>
      </c>
      <c r="P291">
        <f t="shared" si="40"/>
        <v>31.5</v>
      </c>
    </row>
    <row r="292">
      <c r="A292" s="3" t="s">
        <v>1038</v>
      </c>
      <c r="B292" s="3">
        <v>2018.0</v>
      </c>
      <c r="C292" s="3" t="s">
        <v>1025</v>
      </c>
      <c r="D292" s="3" t="s">
        <v>146</v>
      </c>
      <c r="F292" s="3" t="s">
        <v>29</v>
      </c>
      <c r="G292" s="3" t="s">
        <v>129</v>
      </c>
      <c r="H292" s="3" t="s">
        <v>250</v>
      </c>
      <c r="I292" s="4">
        <v>2022.0</v>
      </c>
      <c r="J292" s="3">
        <v>2033.0</v>
      </c>
      <c r="K292" s="6">
        <v>43954.0</v>
      </c>
      <c r="L292" s="3">
        <v>26.95</v>
      </c>
      <c r="M292" s="3" t="s">
        <v>190</v>
      </c>
      <c r="N292" s="7">
        <v>44107.0</v>
      </c>
      <c r="O292" s="3">
        <v>1.0</v>
      </c>
      <c r="P292">
        <f t="shared" si="40"/>
        <v>26.95</v>
      </c>
    </row>
    <row r="293">
      <c r="A293" s="3" t="s">
        <v>1039</v>
      </c>
      <c r="B293" s="3">
        <v>2019.0</v>
      </c>
      <c r="C293" s="3" t="s">
        <v>847</v>
      </c>
      <c r="D293" s="3" t="s">
        <v>905</v>
      </c>
      <c r="F293" s="3" t="s">
        <v>29</v>
      </c>
      <c r="G293" s="3" t="s">
        <v>71</v>
      </c>
      <c r="H293" s="3" t="s">
        <v>943</v>
      </c>
      <c r="I293" s="4">
        <v>2024.0</v>
      </c>
      <c r="J293" s="3">
        <v>2034.0</v>
      </c>
      <c r="K293" s="6">
        <v>45050.0</v>
      </c>
      <c r="L293" s="3">
        <v>6.8</v>
      </c>
      <c r="M293" s="3" t="s">
        <v>99</v>
      </c>
      <c r="N293" s="7">
        <v>45794.0</v>
      </c>
      <c r="O293" s="3">
        <v>0.0</v>
      </c>
      <c r="P293">
        <f t="shared" si="40"/>
        <v>0</v>
      </c>
      <c r="Q293" s="7">
        <v>45866.0</v>
      </c>
      <c r="R293" s="3">
        <v>1.5</v>
      </c>
      <c r="S293" s="3" t="s">
        <v>1040</v>
      </c>
    </row>
    <row r="294">
      <c r="A294" s="3" t="s">
        <v>723</v>
      </c>
      <c r="B294" s="3">
        <v>2018.0</v>
      </c>
      <c r="C294" s="3" t="s">
        <v>1025</v>
      </c>
      <c r="F294" s="3" t="s">
        <v>29</v>
      </c>
      <c r="G294" s="3" t="s">
        <v>129</v>
      </c>
      <c r="H294" s="3" t="s">
        <v>250</v>
      </c>
      <c r="I294" s="4">
        <v>2022.0</v>
      </c>
      <c r="J294" s="3">
        <v>2033.0</v>
      </c>
      <c r="K294" s="6">
        <v>43954.0</v>
      </c>
      <c r="L294" s="3">
        <v>30.3</v>
      </c>
      <c r="M294" s="3" t="s">
        <v>99</v>
      </c>
      <c r="N294" s="10">
        <v>43798.0</v>
      </c>
      <c r="O294" s="3">
        <v>1.0</v>
      </c>
      <c r="P294">
        <f t="shared" si="40"/>
        <v>30.3</v>
      </c>
      <c r="Q294" s="13"/>
      <c r="R294" s="13"/>
    </row>
    <row r="295">
      <c r="A295" s="3" t="s">
        <v>723</v>
      </c>
      <c r="B295" s="3">
        <v>2023.0</v>
      </c>
      <c r="C295" s="3" t="s">
        <v>1041</v>
      </c>
      <c r="F295" s="3" t="s">
        <v>29</v>
      </c>
      <c r="G295" s="3" t="s">
        <v>129</v>
      </c>
      <c r="H295" s="3" t="s">
        <v>250</v>
      </c>
      <c r="I295" s="3">
        <v>2026.0</v>
      </c>
      <c r="J295" s="3">
        <v>2033.0</v>
      </c>
      <c r="K295" s="6">
        <v>45781.0</v>
      </c>
      <c r="L295" s="3">
        <v>20.3</v>
      </c>
      <c r="M295" s="3" t="s">
        <v>99</v>
      </c>
      <c r="N295" s="7">
        <v>45815.0</v>
      </c>
      <c r="O295" s="3">
        <v>1.0</v>
      </c>
      <c r="P295">
        <f t="shared" si="40"/>
        <v>20.3</v>
      </c>
      <c r="Q295" s="10">
        <v>45961.0</v>
      </c>
      <c r="R295" s="3">
        <v>4.0</v>
      </c>
      <c r="S295" s="3" t="s">
        <v>1042</v>
      </c>
    </row>
    <row r="296">
      <c r="A296" s="16" t="s">
        <v>1043</v>
      </c>
      <c r="B296" s="3">
        <v>2016.0</v>
      </c>
      <c r="C296" s="3" t="s">
        <v>504</v>
      </c>
      <c r="F296" s="3" t="s">
        <v>29</v>
      </c>
      <c r="G296" s="3" t="s">
        <v>44</v>
      </c>
      <c r="H296" s="3" t="s">
        <v>702</v>
      </c>
      <c r="I296" s="4">
        <v>2020.0</v>
      </c>
      <c r="J296" s="3">
        <v>2034.0</v>
      </c>
      <c r="K296" s="6">
        <v>44321.0</v>
      </c>
      <c r="L296" s="3">
        <v>26.0</v>
      </c>
      <c r="M296" s="3" t="s">
        <v>140</v>
      </c>
      <c r="N296" s="7">
        <v>44418.0</v>
      </c>
      <c r="O296" s="3">
        <v>1.0</v>
      </c>
      <c r="P296">
        <f t="shared" si="40"/>
        <v>26</v>
      </c>
      <c r="Q296" s="10">
        <v>44561.0</v>
      </c>
      <c r="R296" s="3">
        <v>3.5</v>
      </c>
      <c r="S296" s="3" t="s">
        <v>1044</v>
      </c>
    </row>
    <row r="297">
      <c r="A297" s="3" t="s">
        <v>1045</v>
      </c>
      <c r="B297" s="3">
        <v>2019.0</v>
      </c>
      <c r="C297" s="3" t="s">
        <v>1046</v>
      </c>
      <c r="D297" s="3" t="s">
        <v>1047</v>
      </c>
      <c r="F297" s="3" t="s">
        <v>29</v>
      </c>
      <c r="G297" s="3" t="s">
        <v>129</v>
      </c>
      <c r="H297" s="3" t="s">
        <v>250</v>
      </c>
      <c r="I297" s="4">
        <v>2023.0</v>
      </c>
      <c r="J297" s="3">
        <v>2034.0</v>
      </c>
      <c r="K297" s="6">
        <v>44320.0</v>
      </c>
      <c r="L297" s="3">
        <v>18.6</v>
      </c>
      <c r="M297" s="3" t="s">
        <v>190</v>
      </c>
      <c r="N297" s="7">
        <v>44459.0</v>
      </c>
      <c r="O297" s="3">
        <v>1.0</v>
      </c>
      <c r="P297">
        <f t="shared" si="40"/>
        <v>18.6</v>
      </c>
    </row>
    <row r="298">
      <c r="A298" s="3" t="s">
        <v>1048</v>
      </c>
      <c r="B298" s="3">
        <v>2015.0</v>
      </c>
      <c r="C298" s="3" t="s">
        <v>1004</v>
      </c>
      <c r="F298" s="3" t="s">
        <v>29</v>
      </c>
      <c r="G298" s="3" t="s">
        <v>44</v>
      </c>
      <c r="H298" s="3" t="s">
        <v>702</v>
      </c>
      <c r="I298" s="4">
        <v>2020.0</v>
      </c>
      <c r="J298" s="3">
        <v>2035.0</v>
      </c>
      <c r="K298" s="6">
        <v>43955.0</v>
      </c>
      <c r="L298" s="3">
        <v>12.0</v>
      </c>
      <c r="M298" s="3" t="s">
        <v>94</v>
      </c>
      <c r="N298" s="7">
        <v>44168.0</v>
      </c>
      <c r="O298" s="3">
        <v>0.0</v>
      </c>
      <c r="P298" s="10"/>
      <c r="Q298" s="10">
        <v>44912.0</v>
      </c>
      <c r="R298" s="3">
        <v>3.0</v>
      </c>
      <c r="S298" s="3" t="s">
        <v>1049</v>
      </c>
    </row>
    <row r="299">
      <c r="A299" s="3" t="s">
        <v>1006</v>
      </c>
      <c r="B299" s="3">
        <v>2019.0</v>
      </c>
      <c r="C299" s="3" t="s">
        <v>1007</v>
      </c>
      <c r="D299" s="3" t="s">
        <v>1008</v>
      </c>
      <c r="F299" s="3" t="s">
        <v>29</v>
      </c>
      <c r="G299" s="3" t="s">
        <v>154</v>
      </c>
      <c r="H299" s="3" t="s">
        <v>1009</v>
      </c>
      <c r="I299" s="4">
        <v>2023.0</v>
      </c>
      <c r="J299" s="3">
        <v>2034.0</v>
      </c>
      <c r="K299" s="6">
        <v>43955.0</v>
      </c>
      <c r="L299" s="3">
        <v>27.6</v>
      </c>
      <c r="M299" s="3" t="s">
        <v>190</v>
      </c>
      <c r="N299" s="7">
        <v>44459.0</v>
      </c>
      <c r="O299" s="3">
        <v>1.0</v>
      </c>
      <c r="P299">
        <f t="shared" ref="P299:P303" si="41">O299*L299</f>
        <v>27.6</v>
      </c>
    </row>
    <row r="300">
      <c r="A300" s="3" t="s">
        <v>1050</v>
      </c>
      <c r="B300" s="3">
        <v>2019.0</v>
      </c>
      <c r="C300" s="3" t="s">
        <v>847</v>
      </c>
      <c r="D300" s="3" t="s">
        <v>1051</v>
      </c>
      <c r="F300" s="3" t="s">
        <v>29</v>
      </c>
      <c r="G300" s="3" t="s">
        <v>71</v>
      </c>
      <c r="H300" s="3" t="s">
        <v>943</v>
      </c>
      <c r="I300" s="4">
        <v>2024.0</v>
      </c>
      <c r="J300" s="3">
        <v>2034.0</v>
      </c>
      <c r="K300" s="6">
        <v>45050.0</v>
      </c>
      <c r="L300" s="3">
        <v>16.0</v>
      </c>
      <c r="M300" s="3" t="s">
        <v>118</v>
      </c>
      <c r="N300" s="10">
        <v>45259.0</v>
      </c>
      <c r="O300" s="3">
        <v>2.0</v>
      </c>
      <c r="P300">
        <f t="shared" si="41"/>
        <v>32</v>
      </c>
    </row>
    <row r="301">
      <c r="A301" s="3" t="s">
        <v>1050</v>
      </c>
      <c r="B301" s="3">
        <v>2019.0</v>
      </c>
      <c r="C301" s="3" t="s">
        <v>847</v>
      </c>
      <c r="D301" s="3" t="s">
        <v>1052</v>
      </c>
      <c r="F301" s="3" t="s">
        <v>29</v>
      </c>
      <c r="G301" s="3" t="s">
        <v>71</v>
      </c>
      <c r="H301" s="3" t="s">
        <v>943</v>
      </c>
      <c r="I301" s="4">
        <v>2024.0</v>
      </c>
      <c r="J301" s="3">
        <v>2034.0</v>
      </c>
      <c r="K301" s="6">
        <v>45050.0</v>
      </c>
      <c r="L301" s="3">
        <v>27.0</v>
      </c>
      <c r="M301" s="3" t="s">
        <v>118</v>
      </c>
      <c r="N301" s="10">
        <v>45259.0</v>
      </c>
      <c r="O301" s="3">
        <v>2.0</v>
      </c>
      <c r="P301">
        <f t="shared" si="41"/>
        <v>54</v>
      </c>
    </row>
    <row r="302">
      <c r="A302" s="3" t="s">
        <v>1014</v>
      </c>
      <c r="B302" s="3">
        <v>2010.0</v>
      </c>
      <c r="C302" s="3" t="s">
        <v>1015</v>
      </c>
      <c r="D302" s="3" t="s">
        <v>1016</v>
      </c>
      <c r="F302" s="3" t="s">
        <v>29</v>
      </c>
      <c r="G302" s="3" t="s">
        <v>44</v>
      </c>
      <c r="H302" s="3" t="s">
        <v>59</v>
      </c>
      <c r="I302" s="4">
        <v>2014.0</v>
      </c>
      <c r="J302" s="3">
        <v>2035.0</v>
      </c>
      <c r="K302" s="6">
        <v>43590.0</v>
      </c>
      <c r="L302" s="3">
        <v>19.9</v>
      </c>
      <c r="M302" s="3" t="s">
        <v>130</v>
      </c>
      <c r="N302" s="7">
        <v>43893.0</v>
      </c>
      <c r="O302" s="3">
        <v>1.0</v>
      </c>
      <c r="P302">
        <f t="shared" si="41"/>
        <v>19.9</v>
      </c>
      <c r="Q302" s="9" t="s">
        <v>1053</v>
      </c>
      <c r="R302" s="9" t="s">
        <v>142</v>
      </c>
      <c r="S302" s="3" t="s">
        <v>1054</v>
      </c>
    </row>
    <row r="303">
      <c r="A303" s="3" t="s">
        <v>1055</v>
      </c>
      <c r="B303" s="3">
        <v>2010.0</v>
      </c>
      <c r="C303" s="3" t="s">
        <v>1015</v>
      </c>
      <c r="E303" s="3"/>
      <c r="F303" s="3" t="s">
        <v>29</v>
      </c>
      <c r="G303" s="3" t="s">
        <v>44</v>
      </c>
      <c r="H303" s="3" t="s">
        <v>59</v>
      </c>
      <c r="I303" s="4">
        <v>2014.0</v>
      </c>
      <c r="J303" s="3">
        <v>2035.0</v>
      </c>
      <c r="K303" s="6">
        <v>43590.0</v>
      </c>
      <c r="L303" s="3">
        <v>19.5</v>
      </c>
      <c r="M303" s="3" t="s">
        <v>130</v>
      </c>
      <c r="N303" s="7">
        <v>43514.0</v>
      </c>
      <c r="O303" s="3">
        <v>2.0</v>
      </c>
      <c r="P303">
        <f t="shared" si="41"/>
        <v>39</v>
      </c>
      <c r="Q303" s="12">
        <v>43922.0</v>
      </c>
      <c r="R303" s="9">
        <v>3.5</v>
      </c>
      <c r="S303" s="3" t="s">
        <v>1056</v>
      </c>
    </row>
    <row r="304">
      <c r="A304" s="3" t="s">
        <v>1057</v>
      </c>
      <c r="B304" s="3">
        <v>2016.0</v>
      </c>
      <c r="C304" s="3" t="s">
        <v>1058</v>
      </c>
      <c r="D304" s="3" t="s">
        <v>1059</v>
      </c>
      <c r="F304" s="3" t="s">
        <v>29</v>
      </c>
      <c r="G304" s="3" t="s">
        <v>163</v>
      </c>
      <c r="H304" s="3" t="s">
        <v>999</v>
      </c>
      <c r="I304" s="4">
        <v>2020.0</v>
      </c>
      <c r="J304" s="3">
        <v>2036.0</v>
      </c>
      <c r="K304" s="6">
        <v>43589.0</v>
      </c>
      <c r="L304" s="3">
        <v>9.6</v>
      </c>
      <c r="M304" s="3" t="s">
        <v>118</v>
      </c>
      <c r="N304" s="7">
        <v>43436.0</v>
      </c>
      <c r="O304" s="3">
        <v>0.0</v>
      </c>
      <c r="P304" s="9"/>
      <c r="Q304" s="9" t="s">
        <v>1060</v>
      </c>
      <c r="R304" s="9" t="s">
        <v>142</v>
      </c>
      <c r="S304" s="3" t="s">
        <v>1061</v>
      </c>
    </row>
    <row r="305">
      <c r="A305" s="3" t="s">
        <v>1062</v>
      </c>
      <c r="B305" s="3">
        <v>2017.0</v>
      </c>
      <c r="C305" s="3" t="s">
        <v>504</v>
      </c>
      <c r="F305" s="3" t="s">
        <v>29</v>
      </c>
      <c r="G305" s="3" t="s">
        <v>44</v>
      </c>
      <c r="H305" s="3" t="s">
        <v>702</v>
      </c>
      <c r="I305" s="4">
        <v>2021.0</v>
      </c>
      <c r="J305" s="3">
        <v>2035.0</v>
      </c>
      <c r="K305" s="6">
        <v>43588.0</v>
      </c>
      <c r="L305" s="3">
        <v>21.95</v>
      </c>
      <c r="M305" s="3" t="s">
        <v>190</v>
      </c>
      <c r="N305" s="7">
        <v>43740.0</v>
      </c>
      <c r="O305" s="3">
        <v>1.0</v>
      </c>
      <c r="P305">
        <f t="shared" ref="P305:P319" si="42">O305*L305</f>
        <v>21.95</v>
      </c>
      <c r="Q305" s="13"/>
      <c r="R305" s="13"/>
    </row>
    <row r="306">
      <c r="A306" s="3" t="s">
        <v>842</v>
      </c>
      <c r="B306" s="3">
        <v>2021.0</v>
      </c>
      <c r="C306" s="3" t="s">
        <v>965</v>
      </c>
      <c r="F306" s="3" t="s">
        <v>22</v>
      </c>
      <c r="G306" s="3" t="s">
        <v>129</v>
      </c>
      <c r="H306" s="3" t="s">
        <v>93</v>
      </c>
      <c r="I306" s="4">
        <v>2024.0</v>
      </c>
      <c r="J306" s="3">
        <v>2036.0</v>
      </c>
      <c r="K306" s="6">
        <v>45049.0</v>
      </c>
      <c r="L306" s="3">
        <v>33.0</v>
      </c>
      <c r="M306" s="3" t="s">
        <v>775</v>
      </c>
      <c r="N306" s="7">
        <v>45073.0</v>
      </c>
      <c r="O306" s="3">
        <v>0.0</v>
      </c>
      <c r="P306">
        <f t="shared" si="42"/>
        <v>0</v>
      </c>
      <c r="Q306" s="7">
        <v>45743.0</v>
      </c>
      <c r="R306" s="3">
        <v>4.0</v>
      </c>
      <c r="S306" s="3" t="s">
        <v>1063</v>
      </c>
    </row>
    <row r="307">
      <c r="A307" s="3" t="s">
        <v>1064</v>
      </c>
      <c r="B307" s="3">
        <v>2020.0</v>
      </c>
      <c r="C307" s="3" t="s">
        <v>1012</v>
      </c>
      <c r="D307" s="3" t="s">
        <v>146</v>
      </c>
      <c r="F307" s="3" t="s">
        <v>22</v>
      </c>
      <c r="G307" s="3" t="s">
        <v>129</v>
      </c>
      <c r="H307" s="3" t="s">
        <v>93</v>
      </c>
      <c r="I307" s="4">
        <v>2023.0</v>
      </c>
      <c r="J307" s="3">
        <v>2035.0</v>
      </c>
      <c r="K307" s="6">
        <v>44685.0</v>
      </c>
      <c r="L307" s="3">
        <v>31.0</v>
      </c>
      <c r="M307" s="3" t="s">
        <v>118</v>
      </c>
      <c r="N307" s="7">
        <v>44640.0</v>
      </c>
      <c r="O307" s="3">
        <v>1.0</v>
      </c>
      <c r="P307">
        <f t="shared" si="42"/>
        <v>31</v>
      </c>
    </row>
    <row r="308">
      <c r="A308" s="3" t="s">
        <v>1064</v>
      </c>
      <c r="B308" s="3">
        <v>2020.0</v>
      </c>
      <c r="C308" s="3" t="s">
        <v>1012</v>
      </c>
      <c r="D308" s="3" t="s">
        <v>1065</v>
      </c>
      <c r="F308" s="3" t="s">
        <v>22</v>
      </c>
      <c r="G308" s="3" t="s">
        <v>129</v>
      </c>
      <c r="H308" s="3" t="s">
        <v>93</v>
      </c>
      <c r="I308" s="4">
        <v>2023.0</v>
      </c>
      <c r="J308" s="3">
        <v>2035.0</v>
      </c>
      <c r="K308" s="6">
        <v>44685.0</v>
      </c>
      <c r="L308" s="3">
        <v>35.0</v>
      </c>
      <c r="M308" s="3" t="s">
        <v>118</v>
      </c>
      <c r="N308" s="7">
        <v>44640.0</v>
      </c>
      <c r="O308" s="3">
        <v>1.0</v>
      </c>
      <c r="P308">
        <f t="shared" si="42"/>
        <v>35</v>
      </c>
    </row>
    <row r="309">
      <c r="A309" s="3" t="s">
        <v>1066</v>
      </c>
      <c r="B309" s="3">
        <v>2017.0</v>
      </c>
      <c r="C309" s="3" t="s">
        <v>1067</v>
      </c>
      <c r="F309" s="3" t="s">
        <v>29</v>
      </c>
      <c r="G309" s="3" t="s">
        <v>129</v>
      </c>
      <c r="H309" s="3" t="s">
        <v>250</v>
      </c>
      <c r="I309" s="4">
        <v>2021.0</v>
      </c>
      <c r="J309" s="3">
        <v>2037.0</v>
      </c>
      <c r="K309" s="6">
        <v>43588.0</v>
      </c>
      <c r="L309" s="3">
        <v>22.5</v>
      </c>
      <c r="M309" s="3" t="s">
        <v>190</v>
      </c>
      <c r="N309" s="7">
        <v>43740.0</v>
      </c>
      <c r="O309" s="3">
        <v>0.0</v>
      </c>
      <c r="P309">
        <f t="shared" si="42"/>
        <v>0</v>
      </c>
      <c r="Q309" s="8">
        <v>45577.0</v>
      </c>
      <c r="R309" s="9">
        <v>4.0</v>
      </c>
      <c r="S309" s="3" t="s">
        <v>1068</v>
      </c>
    </row>
    <row r="310">
      <c r="A310" s="3" t="s">
        <v>723</v>
      </c>
      <c r="B310" s="3">
        <v>2017.0</v>
      </c>
      <c r="C310" s="3" t="s">
        <v>1067</v>
      </c>
      <c r="F310" s="3" t="s">
        <v>29</v>
      </c>
      <c r="G310" s="3" t="s">
        <v>129</v>
      </c>
      <c r="H310" s="3" t="s">
        <v>250</v>
      </c>
      <c r="I310" s="4">
        <v>2021.0</v>
      </c>
      <c r="J310" s="3">
        <v>2037.0</v>
      </c>
      <c r="K310" s="6">
        <v>43954.0</v>
      </c>
      <c r="L310" s="3">
        <v>29.3</v>
      </c>
      <c r="M310" s="3" t="s">
        <v>99</v>
      </c>
      <c r="N310" s="10">
        <v>43798.0</v>
      </c>
      <c r="O310" s="3">
        <v>0.0</v>
      </c>
      <c r="P310">
        <f t="shared" si="42"/>
        <v>0</v>
      </c>
      <c r="Q310" s="8">
        <v>45577.0</v>
      </c>
      <c r="R310" s="9">
        <v>0.0</v>
      </c>
      <c r="S310" s="3" t="s">
        <v>1069</v>
      </c>
    </row>
    <row r="311">
      <c r="A311" s="3" t="s">
        <v>1070</v>
      </c>
      <c r="B311" s="3">
        <v>2020.0</v>
      </c>
      <c r="C311" s="3" t="s">
        <v>785</v>
      </c>
      <c r="D311" s="3" t="s">
        <v>1071</v>
      </c>
      <c r="F311" s="3" t="s">
        <v>29</v>
      </c>
      <c r="G311" s="3" t="s">
        <v>1072</v>
      </c>
      <c r="H311" s="3" t="s">
        <v>785</v>
      </c>
      <c r="I311" s="4">
        <v>2024.0</v>
      </c>
      <c r="J311" s="3">
        <v>2035.0</v>
      </c>
      <c r="K311" s="6">
        <v>45416.0</v>
      </c>
      <c r="L311" s="3">
        <v>29.5</v>
      </c>
      <c r="M311" s="3" t="s">
        <v>184</v>
      </c>
      <c r="N311" s="10">
        <v>45289.0</v>
      </c>
      <c r="O311" s="3">
        <v>2.0</v>
      </c>
      <c r="P311">
        <f t="shared" si="42"/>
        <v>59</v>
      </c>
    </row>
    <row r="312">
      <c r="A312" s="3" t="s">
        <v>946</v>
      </c>
      <c r="B312" s="3">
        <v>2020.0</v>
      </c>
      <c r="C312" s="3" t="s">
        <v>947</v>
      </c>
      <c r="F312" s="3" t="s">
        <v>29</v>
      </c>
      <c r="G312" s="3" t="s">
        <v>44</v>
      </c>
      <c r="H312" s="3" t="s">
        <v>46</v>
      </c>
      <c r="I312" s="4">
        <v>2025.0</v>
      </c>
      <c r="J312" s="3">
        <v>2035.0</v>
      </c>
      <c r="K312" s="6">
        <v>45417.0</v>
      </c>
      <c r="L312" s="3">
        <v>11.0</v>
      </c>
      <c r="M312" s="3" t="s">
        <v>94</v>
      </c>
      <c r="N312" s="7">
        <v>45396.0</v>
      </c>
      <c r="O312" s="3">
        <v>1.0</v>
      </c>
      <c r="P312">
        <f t="shared" si="42"/>
        <v>11</v>
      </c>
    </row>
    <row r="313">
      <c r="A313" s="3" t="s">
        <v>1073</v>
      </c>
      <c r="B313" s="3">
        <v>2021.0</v>
      </c>
      <c r="C313" s="3" t="s">
        <v>933</v>
      </c>
      <c r="D313" s="3" t="s">
        <v>934</v>
      </c>
      <c r="E313" s="3" t="s">
        <v>727</v>
      </c>
      <c r="F313" s="3" t="s">
        <v>29</v>
      </c>
      <c r="G313" s="3" t="s">
        <v>129</v>
      </c>
      <c r="H313" s="3" t="s">
        <v>250</v>
      </c>
      <c r="I313" s="4">
        <v>2024.0</v>
      </c>
      <c r="J313" s="3">
        <v>2036.0</v>
      </c>
      <c r="K313" s="6">
        <v>45048.0</v>
      </c>
      <c r="L313" s="3">
        <v>33.0</v>
      </c>
      <c r="M313" s="3" t="s">
        <v>118</v>
      </c>
      <c r="N313" s="10">
        <v>45259.0</v>
      </c>
      <c r="O313" s="3">
        <v>1.0</v>
      </c>
      <c r="P313">
        <f t="shared" si="42"/>
        <v>33</v>
      </c>
    </row>
    <row r="314">
      <c r="A314" s="3" t="s">
        <v>723</v>
      </c>
      <c r="B314" s="3">
        <v>2021.0</v>
      </c>
      <c r="C314" s="3" t="s">
        <v>1074</v>
      </c>
      <c r="F314" s="3" t="s">
        <v>29</v>
      </c>
      <c r="G314" s="3" t="s">
        <v>129</v>
      </c>
      <c r="H314" s="3" t="s">
        <v>250</v>
      </c>
      <c r="I314" s="4">
        <v>2024.0</v>
      </c>
      <c r="J314" s="3">
        <v>2036.0</v>
      </c>
      <c r="K314" s="6">
        <v>45048.0</v>
      </c>
      <c r="L314" s="3">
        <v>19.45</v>
      </c>
      <c r="M314" s="3" t="s">
        <v>0</v>
      </c>
      <c r="N314" s="7">
        <v>45073.0</v>
      </c>
      <c r="O314" s="3">
        <v>1.0</v>
      </c>
      <c r="P314">
        <f t="shared" si="42"/>
        <v>19.45</v>
      </c>
    </row>
    <row r="315">
      <c r="A315" s="3" t="s">
        <v>1073</v>
      </c>
      <c r="B315" s="3">
        <v>2021.0</v>
      </c>
      <c r="C315" s="3" t="s">
        <v>1075</v>
      </c>
      <c r="F315" s="3" t="s">
        <v>29</v>
      </c>
      <c r="G315" s="3" t="s">
        <v>129</v>
      </c>
      <c r="H315" s="3" t="s">
        <v>250</v>
      </c>
      <c r="I315" s="4">
        <v>2025.0</v>
      </c>
      <c r="J315" s="3">
        <v>2036.0</v>
      </c>
      <c r="K315" s="6">
        <v>45048.0</v>
      </c>
      <c r="L315" s="3">
        <v>52.0</v>
      </c>
      <c r="M315" s="3" t="s">
        <v>118</v>
      </c>
      <c r="N315" s="10">
        <v>45259.0</v>
      </c>
      <c r="O315" s="3">
        <v>1.0</v>
      </c>
      <c r="P315">
        <f t="shared" si="42"/>
        <v>52</v>
      </c>
    </row>
    <row r="316">
      <c r="A316" s="3" t="s">
        <v>1076</v>
      </c>
      <c r="B316" s="3">
        <v>2017.0</v>
      </c>
      <c r="C316" s="3" t="s">
        <v>1004</v>
      </c>
      <c r="E316" s="3" t="s">
        <v>887</v>
      </c>
      <c r="F316" s="3" t="s">
        <v>29</v>
      </c>
      <c r="G316" s="3" t="s">
        <v>44</v>
      </c>
      <c r="H316" s="3" t="s">
        <v>702</v>
      </c>
      <c r="I316" s="4">
        <v>2022.0</v>
      </c>
      <c r="J316" s="3">
        <v>2037.0</v>
      </c>
      <c r="K316" s="6">
        <v>43954.0</v>
      </c>
      <c r="L316" s="3">
        <v>26.25</v>
      </c>
      <c r="M316" s="3" t="s">
        <v>190</v>
      </c>
      <c r="N316" s="7">
        <v>44111.0</v>
      </c>
      <c r="O316" s="3">
        <v>2.0</v>
      </c>
      <c r="P316">
        <f t="shared" si="42"/>
        <v>52.5</v>
      </c>
    </row>
    <row r="317">
      <c r="A317" s="3" t="s">
        <v>886</v>
      </c>
      <c r="B317" s="3">
        <v>2019.0</v>
      </c>
      <c r="C317" s="3" t="s">
        <v>504</v>
      </c>
      <c r="E317" s="3" t="s">
        <v>887</v>
      </c>
      <c r="F317" s="3" t="s">
        <v>29</v>
      </c>
      <c r="G317" s="3" t="s">
        <v>44</v>
      </c>
      <c r="H317" s="3" t="s">
        <v>702</v>
      </c>
      <c r="I317" s="4">
        <v>2023.0</v>
      </c>
      <c r="J317" s="3">
        <v>2037.0</v>
      </c>
      <c r="K317" s="6">
        <v>44685.0</v>
      </c>
      <c r="L317" s="3">
        <v>28.0</v>
      </c>
      <c r="M317" s="3" t="s">
        <v>1077</v>
      </c>
      <c r="N317" s="7">
        <v>44683.0</v>
      </c>
      <c r="O317" s="3">
        <v>6.0</v>
      </c>
      <c r="P317">
        <f t="shared" si="42"/>
        <v>168</v>
      </c>
    </row>
    <row r="318">
      <c r="A318" s="3" t="s">
        <v>723</v>
      </c>
      <c r="B318" s="3">
        <v>2022.0</v>
      </c>
      <c r="C318" s="3" t="s">
        <v>1078</v>
      </c>
      <c r="D318" s="3" t="s">
        <v>1079</v>
      </c>
      <c r="E318" s="3" t="s">
        <v>727</v>
      </c>
      <c r="F318" s="3" t="s">
        <v>29</v>
      </c>
      <c r="G318" s="3" t="s">
        <v>129</v>
      </c>
      <c r="H318" s="3" t="s">
        <v>250</v>
      </c>
      <c r="I318" s="4">
        <v>2025.0</v>
      </c>
      <c r="J318" s="3">
        <v>2037.0</v>
      </c>
      <c r="K318" s="6">
        <v>45781.0</v>
      </c>
      <c r="L318" s="3">
        <v>45.85</v>
      </c>
      <c r="M318" s="3" t="s">
        <v>99</v>
      </c>
      <c r="N318" s="7">
        <v>45815.0</v>
      </c>
      <c r="O318" s="3">
        <v>2.0</v>
      </c>
      <c r="P318">
        <f t="shared" si="42"/>
        <v>91.7</v>
      </c>
    </row>
    <row r="319">
      <c r="A319" s="3" t="s">
        <v>1039</v>
      </c>
      <c r="B319" s="3">
        <v>2022.0</v>
      </c>
      <c r="C319" s="3" t="s">
        <v>847</v>
      </c>
      <c r="D319" s="3" t="s">
        <v>1080</v>
      </c>
      <c r="F319" s="3" t="s">
        <v>29</v>
      </c>
      <c r="G319" s="3" t="s">
        <v>71</v>
      </c>
      <c r="H319" s="3" t="s">
        <v>943</v>
      </c>
      <c r="I319" s="3">
        <v>2027.0</v>
      </c>
      <c r="J319" s="3">
        <v>2037.0</v>
      </c>
      <c r="K319" s="6">
        <v>45782.0</v>
      </c>
      <c r="L319" s="3">
        <v>14.0</v>
      </c>
      <c r="M319" s="3" t="s">
        <v>99</v>
      </c>
      <c r="N319" s="7">
        <v>45794.0</v>
      </c>
      <c r="O319" s="3">
        <v>1.0</v>
      </c>
      <c r="P319">
        <f t="shared" si="42"/>
        <v>14</v>
      </c>
    </row>
    <row r="320">
      <c r="A320" s="3" t="s">
        <v>1081</v>
      </c>
      <c r="B320" s="3">
        <v>2009.0</v>
      </c>
      <c r="C320" s="3" t="s">
        <v>1082</v>
      </c>
      <c r="F320" s="3" t="s">
        <v>29</v>
      </c>
      <c r="G320" s="3" t="s">
        <v>44</v>
      </c>
      <c r="H320" s="3" t="s">
        <v>1083</v>
      </c>
      <c r="I320" s="4">
        <v>2014.0</v>
      </c>
      <c r="J320" s="3">
        <v>2039.0</v>
      </c>
      <c r="K320" s="6">
        <v>43956.0</v>
      </c>
      <c r="M320" s="3" t="s">
        <v>25</v>
      </c>
      <c r="N320" s="10">
        <v>44190.0</v>
      </c>
      <c r="O320" s="3">
        <v>0.0</v>
      </c>
      <c r="P320" s="7"/>
      <c r="Q320" s="7">
        <v>45178.0</v>
      </c>
      <c r="R320" s="3">
        <v>0.0</v>
      </c>
      <c r="S320" s="3" t="s">
        <v>703</v>
      </c>
    </row>
    <row r="321">
      <c r="A321" s="3" t="s">
        <v>1084</v>
      </c>
      <c r="B321" s="3">
        <v>2013.0</v>
      </c>
      <c r="C321" s="3" t="s">
        <v>1015</v>
      </c>
      <c r="E321" s="3" t="s">
        <v>110</v>
      </c>
      <c r="F321" s="3" t="s">
        <v>29</v>
      </c>
      <c r="G321" s="3" t="s">
        <v>44</v>
      </c>
      <c r="H321" s="3" t="s">
        <v>59</v>
      </c>
      <c r="I321" s="4">
        <v>2017.0</v>
      </c>
      <c r="J321" s="3">
        <v>2038.0</v>
      </c>
      <c r="K321" s="6">
        <v>43586.0</v>
      </c>
      <c r="M321" s="3" t="s">
        <v>841</v>
      </c>
      <c r="N321" s="7">
        <v>42913.0</v>
      </c>
      <c r="O321" s="3">
        <v>1.0</v>
      </c>
      <c r="P321">
        <f>O321*L321</f>
        <v>0</v>
      </c>
      <c r="Q321" s="13"/>
      <c r="R321" s="13"/>
    </row>
    <row r="322">
      <c r="A322" s="3" t="s">
        <v>1085</v>
      </c>
      <c r="B322" s="3">
        <v>2014.0</v>
      </c>
      <c r="C322" s="3" t="s">
        <v>1086</v>
      </c>
      <c r="E322" s="3" t="s">
        <v>424</v>
      </c>
      <c r="F322" s="3" t="s">
        <v>29</v>
      </c>
      <c r="G322" s="3" t="s">
        <v>44</v>
      </c>
      <c r="H322" s="3" t="s">
        <v>46</v>
      </c>
      <c r="I322" s="4">
        <v>2018.0</v>
      </c>
      <c r="J322" s="3">
        <v>2039.0</v>
      </c>
      <c r="K322" s="6">
        <v>43588.0</v>
      </c>
      <c r="L322" s="3">
        <v>14.95</v>
      </c>
      <c r="M322" s="3" t="s">
        <v>147</v>
      </c>
      <c r="N322" s="10">
        <v>43092.0</v>
      </c>
      <c r="O322" s="3">
        <v>0.0</v>
      </c>
      <c r="P322" s="12"/>
      <c r="Q322" s="12">
        <v>44220.0</v>
      </c>
      <c r="R322" s="9">
        <v>4.0</v>
      </c>
      <c r="S322" s="3" t="s">
        <v>1087</v>
      </c>
    </row>
    <row r="323">
      <c r="A323" s="3" t="s">
        <v>1088</v>
      </c>
      <c r="B323" s="3">
        <v>2018.0</v>
      </c>
      <c r="C323" s="3" t="s">
        <v>1058</v>
      </c>
      <c r="D323" s="3" t="s">
        <v>1089</v>
      </c>
      <c r="F323" s="3" t="s">
        <v>29</v>
      </c>
      <c r="G323" s="3" t="s">
        <v>163</v>
      </c>
      <c r="H323" s="3" t="s">
        <v>999</v>
      </c>
      <c r="I323" s="4">
        <v>2022.0</v>
      </c>
      <c r="J323" s="3">
        <v>2038.0</v>
      </c>
      <c r="K323" s="6">
        <v>44686.0</v>
      </c>
      <c r="L323" s="3">
        <v>13.95</v>
      </c>
      <c r="M323" s="3" t="s">
        <v>118</v>
      </c>
      <c r="N323" s="7">
        <v>44640.0</v>
      </c>
      <c r="O323" s="3">
        <v>1.0</v>
      </c>
      <c r="P323">
        <f t="shared" ref="P323:P338" si="43">O323*L323</f>
        <v>13.95</v>
      </c>
      <c r="Q323" s="7">
        <v>44928.0</v>
      </c>
      <c r="R323" s="3">
        <v>2.5</v>
      </c>
      <c r="S323" s="3" t="s">
        <v>1090</v>
      </c>
    </row>
    <row r="324">
      <c r="A324" s="3" t="s">
        <v>1091</v>
      </c>
      <c r="B324" s="3">
        <v>2014.0</v>
      </c>
      <c r="C324" s="3" t="s">
        <v>1015</v>
      </c>
      <c r="E324" s="3" t="s">
        <v>110</v>
      </c>
      <c r="F324" s="3" t="s">
        <v>29</v>
      </c>
      <c r="G324" s="3" t="s">
        <v>44</v>
      </c>
      <c r="H324" s="3" t="s">
        <v>59</v>
      </c>
      <c r="I324" s="4">
        <v>2018.0</v>
      </c>
      <c r="J324" s="3">
        <v>2039.0</v>
      </c>
      <c r="K324" s="6">
        <v>43588.0</v>
      </c>
      <c r="L324" s="3">
        <v>9.5</v>
      </c>
      <c r="M324" s="3" t="s">
        <v>130</v>
      </c>
      <c r="N324" s="7">
        <v>43271.0</v>
      </c>
      <c r="O324" s="3">
        <v>0.0</v>
      </c>
      <c r="P324">
        <f t="shared" si="43"/>
        <v>0</v>
      </c>
      <c r="Q324" s="9" t="s">
        <v>1092</v>
      </c>
      <c r="R324" s="9" t="s">
        <v>1093</v>
      </c>
      <c r="S324" s="3" t="s">
        <v>1094</v>
      </c>
    </row>
    <row r="325">
      <c r="A325" s="3" t="s">
        <v>1095</v>
      </c>
      <c r="B325" s="3">
        <v>2023.0</v>
      </c>
      <c r="C325" s="3" t="s">
        <v>965</v>
      </c>
      <c r="D325" s="3" t="s">
        <v>1096</v>
      </c>
      <c r="E325" s="3" t="s">
        <v>1097</v>
      </c>
      <c r="F325" s="3" t="s">
        <v>22</v>
      </c>
      <c r="G325" s="3" t="s">
        <v>129</v>
      </c>
      <c r="H325" s="3" t="s">
        <v>93</v>
      </c>
      <c r="I325" s="3">
        <v>2026.0</v>
      </c>
      <c r="J325" s="3">
        <v>2038.0</v>
      </c>
      <c r="K325" s="6">
        <v>45782.0</v>
      </c>
      <c r="L325" s="3">
        <v>22.0</v>
      </c>
      <c r="M325" s="3" t="s">
        <v>118</v>
      </c>
      <c r="N325" s="10">
        <v>45623.0</v>
      </c>
      <c r="O325" s="3">
        <v>2.0</v>
      </c>
      <c r="P325">
        <f t="shared" si="43"/>
        <v>44</v>
      </c>
    </row>
    <row r="326">
      <c r="A326" s="3" t="s">
        <v>723</v>
      </c>
      <c r="B326" s="3">
        <v>2023.0</v>
      </c>
      <c r="C326" s="3" t="s">
        <v>1046</v>
      </c>
      <c r="F326" s="3" t="s">
        <v>22</v>
      </c>
      <c r="G326" s="3" t="s">
        <v>129</v>
      </c>
      <c r="H326" s="3" t="s">
        <v>93</v>
      </c>
      <c r="I326" s="3">
        <v>2027.0</v>
      </c>
      <c r="J326" s="3">
        <v>2038.0</v>
      </c>
      <c r="K326" s="6">
        <v>45782.0</v>
      </c>
      <c r="L326" s="3">
        <v>27.7</v>
      </c>
      <c r="M326" s="3" t="s">
        <v>99</v>
      </c>
      <c r="N326" s="7">
        <v>45815.0</v>
      </c>
      <c r="O326" s="3">
        <v>2.0</v>
      </c>
      <c r="P326">
        <f t="shared" si="43"/>
        <v>55.4</v>
      </c>
    </row>
    <row r="327">
      <c r="A327" s="3" t="s">
        <v>1098</v>
      </c>
      <c r="B327" s="3">
        <v>2023.0</v>
      </c>
      <c r="C327" s="3" t="s">
        <v>1025</v>
      </c>
      <c r="F327" s="3" t="s">
        <v>29</v>
      </c>
      <c r="G327" s="3" t="s">
        <v>129</v>
      </c>
      <c r="H327" s="3" t="s">
        <v>250</v>
      </c>
      <c r="I327" s="3">
        <v>2027.0</v>
      </c>
      <c r="J327" s="3">
        <v>2038.0</v>
      </c>
      <c r="K327" s="6">
        <v>45781.0</v>
      </c>
      <c r="L327" s="3">
        <v>30.9</v>
      </c>
      <c r="M327" s="3" t="s">
        <v>885</v>
      </c>
      <c r="N327" s="7">
        <v>45928.0</v>
      </c>
      <c r="O327" s="3">
        <v>1.0</v>
      </c>
      <c r="P327">
        <f t="shared" si="43"/>
        <v>30.9</v>
      </c>
    </row>
    <row r="328">
      <c r="A328" s="3" t="s">
        <v>1099</v>
      </c>
      <c r="B328" s="3">
        <v>2023.0</v>
      </c>
      <c r="C328" s="3" t="s">
        <v>1100</v>
      </c>
      <c r="D328" s="3" t="s">
        <v>1101</v>
      </c>
      <c r="F328" s="3" t="s">
        <v>29</v>
      </c>
      <c r="G328" s="3" t="s">
        <v>129</v>
      </c>
      <c r="H328" s="3" t="s">
        <v>250</v>
      </c>
      <c r="I328" s="3">
        <v>2027.0</v>
      </c>
      <c r="J328" s="3">
        <v>2038.0</v>
      </c>
      <c r="K328" s="6">
        <v>45781.0</v>
      </c>
      <c r="L328" s="3">
        <v>25.0</v>
      </c>
      <c r="M328" s="3" t="s">
        <v>118</v>
      </c>
      <c r="N328" s="7">
        <v>45739.0</v>
      </c>
      <c r="O328" s="3">
        <v>2.0</v>
      </c>
      <c r="P328">
        <f t="shared" si="43"/>
        <v>50</v>
      </c>
    </row>
    <row r="329">
      <c r="A329" s="18" t="s">
        <v>1102</v>
      </c>
      <c r="B329" s="3">
        <v>2015.0</v>
      </c>
      <c r="C329" s="3" t="s">
        <v>1103</v>
      </c>
      <c r="F329" s="3" t="s">
        <v>29</v>
      </c>
      <c r="G329" s="3" t="s">
        <v>44</v>
      </c>
      <c r="H329" s="3" t="s">
        <v>1104</v>
      </c>
      <c r="I329" s="4">
        <v>2020.0</v>
      </c>
      <c r="J329" s="3">
        <v>2040.0</v>
      </c>
      <c r="K329" s="6">
        <v>43955.0</v>
      </c>
      <c r="M329" s="3" t="s">
        <v>1105</v>
      </c>
      <c r="N329" s="10">
        <v>44184.0</v>
      </c>
      <c r="O329" s="3">
        <v>0.0</v>
      </c>
      <c r="P329">
        <f t="shared" si="43"/>
        <v>0</v>
      </c>
      <c r="Q329" s="7">
        <v>45388.0</v>
      </c>
      <c r="R329" s="3">
        <v>4.5</v>
      </c>
      <c r="S329" s="3" t="s">
        <v>1106</v>
      </c>
    </row>
    <row r="330">
      <c r="A330" s="3" t="s">
        <v>1107</v>
      </c>
      <c r="B330" s="3">
        <v>2014.0</v>
      </c>
      <c r="C330" s="3" t="s">
        <v>1015</v>
      </c>
      <c r="E330" s="3" t="s">
        <v>887</v>
      </c>
      <c r="F330" s="3" t="s">
        <v>29</v>
      </c>
      <c r="G330" s="3" t="s">
        <v>44</v>
      </c>
      <c r="H330" s="3" t="s">
        <v>59</v>
      </c>
      <c r="I330" s="4">
        <v>2018.0</v>
      </c>
      <c r="J330" s="3">
        <v>2039.0</v>
      </c>
      <c r="K330" s="6">
        <v>43588.0</v>
      </c>
      <c r="L330" s="3">
        <v>19.0</v>
      </c>
      <c r="M330" s="3" t="s">
        <v>130</v>
      </c>
      <c r="N330" s="7">
        <v>43202.0</v>
      </c>
      <c r="O330" s="3">
        <v>1.0</v>
      </c>
      <c r="P330">
        <f t="shared" si="43"/>
        <v>19</v>
      </c>
      <c r="Q330" s="9" t="s">
        <v>1108</v>
      </c>
      <c r="R330" s="9" t="s">
        <v>548</v>
      </c>
      <c r="S330" s="3" t="s">
        <v>1109</v>
      </c>
    </row>
    <row r="331">
      <c r="A331" s="3" t="s">
        <v>1110</v>
      </c>
      <c r="B331" s="3">
        <v>2014.0</v>
      </c>
      <c r="C331" s="3" t="s">
        <v>1111</v>
      </c>
      <c r="D331" s="3" t="s">
        <v>1112</v>
      </c>
      <c r="F331" s="3" t="s">
        <v>29</v>
      </c>
      <c r="G331" s="3" t="s">
        <v>44</v>
      </c>
      <c r="H331" s="3" t="s">
        <v>205</v>
      </c>
      <c r="I331" s="4">
        <v>2018.0</v>
      </c>
      <c r="J331" s="3">
        <v>2039.0</v>
      </c>
      <c r="K331" s="6">
        <v>43588.0</v>
      </c>
      <c r="M331" s="3" t="s">
        <v>841</v>
      </c>
      <c r="N331" s="7">
        <v>42913.0</v>
      </c>
      <c r="O331" s="3">
        <v>1.0</v>
      </c>
      <c r="P331">
        <f t="shared" si="43"/>
        <v>0</v>
      </c>
      <c r="Q331" s="13"/>
      <c r="R331" s="13"/>
    </row>
    <row r="332">
      <c r="A332" s="3" t="s">
        <v>1113</v>
      </c>
      <c r="B332" s="3">
        <v>2014.0</v>
      </c>
      <c r="C332" s="3" t="s">
        <v>1103</v>
      </c>
      <c r="F332" s="3" t="s">
        <v>29</v>
      </c>
      <c r="G332" s="3" t="s">
        <v>44</v>
      </c>
      <c r="H332" s="3" t="s">
        <v>59</v>
      </c>
      <c r="I332" s="4">
        <v>2019.0</v>
      </c>
      <c r="J332" s="3">
        <v>2039.0</v>
      </c>
      <c r="K332" s="6">
        <v>43588.0</v>
      </c>
      <c r="M332" s="3" t="s">
        <v>94</v>
      </c>
      <c r="N332" s="10">
        <v>43750.0</v>
      </c>
      <c r="O332" s="3">
        <v>1.0</v>
      </c>
      <c r="P332">
        <f t="shared" si="43"/>
        <v>0</v>
      </c>
      <c r="Q332" s="13"/>
      <c r="R332" s="13"/>
    </row>
    <row r="333">
      <c r="A333" s="3" t="s">
        <v>1114</v>
      </c>
      <c r="B333" s="3">
        <v>2019.0</v>
      </c>
      <c r="C333" s="3" t="s">
        <v>1115</v>
      </c>
      <c r="F333" s="3" t="s">
        <v>29</v>
      </c>
      <c r="G333" s="3" t="s">
        <v>44</v>
      </c>
      <c r="H333" s="3" t="s">
        <v>59</v>
      </c>
      <c r="I333" s="4">
        <v>2023.0</v>
      </c>
      <c r="J333" s="3">
        <v>2039.0</v>
      </c>
      <c r="K333" s="6">
        <v>44685.0</v>
      </c>
      <c r="L333" s="3">
        <v>18.0</v>
      </c>
      <c r="M333" s="3" t="s">
        <v>1077</v>
      </c>
      <c r="N333" s="7">
        <v>44683.0</v>
      </c>
      <c r="O333" s="3">
        <v>6.0</v>
      </c>
      <c r="P333">
        <f t="shared" si="43"/>
        <v>108</v>
      </c>
    </row>
    <row r="334">
      <c r="A334" s="3" t="s">
        <v>1116</v>
      </c>
      <c r="B334" s="3">
        <v>2015.0</v>
      </c>
      <c r="C334" s="3" t="s">
        <v>1111</v>
      </c>
      <c r="F334" s="3" t="s">
        <v>29</v>
      </c>
      <c r="G334" s="3" t="s">
        <v>44</v>
      </c>
      <c r="H334" s="3" t="s">
        <v>1117</v>
      </c>
      <c r="I334" s="4">
        <v>2019.0</v>
      </c>
      <c r="J334" s="3">
        <v>2040.0</v>
      </c>
      <c r="K334" s="6">
        <v>45781.0</v>
      </c>
      <c r="L334" s="3">
        <v>35.0</v>
      </c>
      <c r="M334" s="3" t="s">
        <v>118</v>
      </c>
      <c r="N334" s="7">
        <v>45739.0</v>
      </c>
      <c r="O334" s="3">
        <v>1.0</v>
      </c>
      <c r="P334">
        <f t="shared" si="43"/>
        <v>35</v>
      </c>
      <c r="Q334" s="7">
        <v>45752.0</v>
      </c>
      <c r="R334" s="3">
        <v>4.0</v>
      </c>
      <c r="S334" s="3" t="s">
        <v>1118</v>
      </c>
    </row>
    <row r="335">
      <c r="A335" s="3" t="s">
        <v>1085</v>
      </c>
      <c r="B335" s="3">
        <v>2015.0</v>
      </c>
      <c r="C335" s="3" t="s">
        <v>1086</v>
      </c>
      <c r="E335" s="3" t="s">
        <v>424</v>
      </c>
      <c r="F335" s="3" t="s">
        <v>29</v>
      </c>
      <c r="G335" s="3" t="s">
        <v>44</v>
      </c>
      <c r="H335" s="3" t="s">
        <v>46</v>
      </c>
      <c r="I335" s="4">
        <v>2019.0</v>
      </c>
      <c r="J335" s="3">
        <v>2040.0</v>
      </c>
      <c r="K335" s="6">
        <v>43955.0</v>
      </c>
      <c r="L335" s="3">
        <v>22.39</v>
      </c>
      <c r="M335" s="3" t="s">
        <v>235</v>
      </c>
      <c r="N335" s="7">
        <v>44107.0</v>
      </c>
      <c r="O335" s="3">
        <v>1.0</v>
      </c>
      <c r="P335">
        <f t="shared" si="43"/>
        <v>22.39</v>
      </c>
      <c r="Q335" s="7">
        <v>45563.0</v>
      </c>
      <c r="R335" s="3">
        <v>4.0</v>
      </c>
      <c r="S335" s="3" t="s">
        <v>1119</v>
      </c>
    </row>
    <row r="336">
      <c r="A336" s="3" t="s">
        <v>723</v>
      </c>
      <c r="B336" s="3">
        <v>2020.0</v>
      </c>
      <c r="C336" s="3" t="s">
        <v>1120</v>
      </c>
      <c r="D336" s="3" t="s">
        <v>1121</v>
      </c>
      <c r="E336" s="3" t="s">
        <v>36</v>
      </c>
      <c r="F336" s="3" t="s">
        <v>29</v>
      </c>
      <c r="G336" s="3" t="s">
        <v>129</v>
      </c>
      <c r="H336" s="3" t="s">
        <v>250</v>
      </c>
      <c r="I336" s="4">
        <v>2024.0</v>
      </c>
      <c r="J336" s="3">
        <v>2040.0</v>
      </c>
      <c r="K336" s="6">
        <v>45050.0</v>
      </c>
      <c r="L336" s="3">
        <v>73.5</v>
      </c>
      <c r="M336" s="3" t="s">
        <v>0</v>
      </c>
      <c r="N336" s="7">
        <v>45073.0</v>
      </c>
      <c r="O336" s="3">
        <v>1.0</v>
      </c>
      <c r="P336">
        <f t="shared" si="43"/>
        <v>73.5</v>
      </c>
    </row>
    <row r="337">
      <c r="A337" s="3" t="s">
        <v>723</v>
      </c>
      <c r="B337" s="3">
        <v>2017.0</v>
      </c>
      <c r="C337" s="3" t="s">
        <v>1122</v>
      </c>
      <c r="F337" s="3" t="s">
        <v>29</v>
      </c>
      <c r="G337" s="3" t="s">
        <v>129</v>
      </c>
      <c r="H337" s="3" t="s">
        <v>250</v>
      </c>
      <c r="I337" s="4">
        <v>2022.0</v>
      </c>
      <c r="J337" s="3">
        <v>2042.0</v>
      </c>
      <c r="K337" s="6">
        <v>43954.0</v>
      </c>
      <c r="L337" s="3">
        <v>26.2</v>
      </c>
      <c r="M337" s="3" t="s">
        <v>99</v>
      </c>
      <c r="N337" s="10">
        <v>43798.0</v>
      </c>
      <c r="O337" s="3">
        <v>0.0</v>
      </c>
      <c r="P337">
        <f t="shared" si="43"/>
        <v>0</v>
      </c>
      <c r="Q337" s="9" t="s">
        <v>1123</v>
      </c>
      <c r="R337" s="9" t="s">
        <v>548</v>
      </c>
      <c r="S337" s="3" t="s">
        <v>1124</v>
      </c>
    </row>
    <row r="338">
      <c r="A338" s="3" t="s">
        <v>1125</v>
      </c>
      <c r="B338" s="3">
        <v>2016.0</v>
      </c>
      <c r="C338" s="3" t="s">
        <v>1086</v>
      </c>
      <c r="E338" s="3" t="s">
        <v>424</v>
      </c>
      <c r="F338" s="3" t="s">
        <v>29</v>
      </c>
      <c r="G338" s="3" t="s">
        <v>44</v>
      </c>
      <c r="H338" s="3" t="s">
        <v>46</v>
      </c>
      <c r="I338" s="4">
        <v>2020.0</v>
      </c>
      <c r="J338" s="3">
        <v>2041.0</v>
      </c>
      <c r="K338" s="6">
        <v>43590.0</v>
      </c>
      <c r="L338" s="3">
        <v>17.9</v>
      </c>
      <c r="M338" s="3" t="s">
        <v>190</v>
      </c>
      <c r="N338" s="7">
        <v>43740.0</v>
      </c>
      <c r="O338" s="3">
        <v>1.0</v>
      </c>
      <c r="P338">
        <f t="shared" si="43"/>
        <v>17.9</v>
      </c>
      <c r="Q338" s="12">
        <v>43740.0</v>
      </c>
      <c r="R338" s="9">
        <v>4.0</v>
      </c>
      <c r="S338" s="3" t="s">
        <v>1126</v>
      </c>
    </row>
    <row r="339">
      <c r="A339" s="3" t="s">
        <v>1127</v>
      </c>
      <c r="B339" s="3">
        <v>2013.0</v>
      </c>
      <c r="C339" s="3" t="s">
        <v>1128</v>
      </c>
      <c r="F339" s="3" t="s">
        <v>29</v>
      </c>
      <c r="G339" s="3" t="s">
        <v>44</v>
      </c>
      <c r="H339" s="3" t="s">
        <v>702</v>
      </c>
      <c r="I339" s="4">
        <v>2017.0</v>
      </c>
      <c r="J339" s="3">
        <v>2043.0</v>
      </c>
      <c r="K339" s="6">
        <v>43586.0</v>
      </c>
      <c r="M339" s="3" t="s">
        <v>841</v>
      </c>
      <c r="N339" s="7">
        <v>42913.0</v>
      </c>
      <c r="O339" s="3">
        <v>0.0</v>
      </c>
      <c r="P339" s="12"/>
      <c r="Q339" s="12">
        <v>45030.0</v>
      </c>
      <c r="R339" s="9">
        <v>3.5</v>
      </c>
      <c r="S339" s="3" t="s">
        <v>1129</v>
      </c>
    </row>
    <row r="340">
      <c r="A340" s="3" t="s">
        <v>1073</v>
      </c>
      <c r="B340" s="3">
        <v>2021.0</v>
      </c>
      <c r="C340" s="3" t="s">
        <v>1067</v>
      </c>
      <c r="F340" s="3" t="s">
        <v>29</v>
      </c>
      <c r="G340" s="3" t="s">
        <v>129</v>
      </c>
      <c r="H340" s="3" t="s">
        <v>250</v>
      </c>
      <c r="I340" s="4">
        <v>2025.0</v>
      </c>
      <c r="J340" s="3">
        <v>2041.0</v>
      </c>
      <c r="K340" s="6">
        <v>45048.0</v>
      </c>
      <c r="L340" s="3">
        <v>37.0</v>
      </c>
      <c r="M340" s="3" t="s">
        <v>118</v>
      </c>
      <c r="N340" s="10">
        <v>45259.0</v>
      </c>
      <c r="O340" s="3">
        <v>1.0</v>
      </c>
      <c r="P340">
        <f t="shared" ref="P340:P341" si="44">O340*L340</f>
        <v>37</v>
      </c>
    </row>
    <row r="341">
      <c r="A341" s="3" t="s">
        <v>1130</v>
      </c>
      <c r="B341" s="3">
        <v>2017.0</v>
      </c>
      <c r="C341" s="3" t="s">
        <v>1131</v>
      </c>
      <c r="D341" s="3" t="s">
        <v>1132</v>
      </c>
      <c r="F341" s="3" t="s">
        <v>29</v>
      </c>
      <c r="G341" s="3" t="s">
        <v>44</v>
      </c>
      <c r="H341" s="3" t="s">
        <v>702</v>
      </c>
      <c r="I341" s="4">
        <v>2021.0</v>
      </c>
      <c r="J341" s="3">
        <v>2042.0</v>
      </c>
      <c r="K341" s="6">
        <v>43588.0</v>
      </c>
      <c r="L341" s="3">
        <v>32.95</v>
      </c>
      <c r="M341" s="3" t="s">
        <v>190</v>
      </c>
      <c r="N341" s="7">
        <v>43740.0</v>
      </c>
      <c r="O341" s="3">
        <v>1.0</v>
      </c>
      <c r="P341">
        <f t="shared" si="44"/>
        <v>32.95</v>
      </c>
      <c r="Q341" s="13"/>
      <c r="R341" s="13"/>
    </row>
    <row r="342">
      <c r="A342" s="3" t="s">
        <v>1133</v>
      </c>
      <c r="B342" s="3">
        <v>2014.0</v>
      </c>
      <c r="C342" s="3" t="s">
        <v>1128</v>
      </c>
      <c r="F342" s="3" t="s">
        <v>29</v>
      </c>
      <c r="G342" s="3" t="s">
        <v>44</v>
      </c>
      <c r="H342" s="3" t="s">
        <v>702</v>
      </c>
      <c r="I342" s="4">
        <v>2018.0</v>
      </c>
      <c r="J342" s="3">
        <v>2044.0</v>
      </c>
      <c r="K342" s="6">
        <v>43588.0</v>
      </c>
      <c r="M342" s="3" t="s">
        <v>156</v>
      </c>
      <c r="N342" s="7">
        <v>43079.0</v>
      </c>
      <c r="O342" s="3">
        <v>0.0</v>
      </c>
      <c r="P342" s="12"/>
      <c r="Q342" s="12">
        <v>44454.0</v>
      </c>
      <c r="R342" s="13"/>
      <c r="S342" s="3" t="s">
        <v>1134</v>
      </c>
    </row>
    <row r="343">
      <c r="A343" s="3" t="s">
        <v>1135</v>
      </c>
      <c r="B343" s="3">
        <v>2014.0</v>
      </c>
      <c r="C343" s="3" t="s">
        <v>1082</v>
      </c>
      <c r="F343" s="3" t="s">
        <v>29</v>
      </c>
      <c r="G343" s="3" t="s">
        <v>44</v>
      </c>
      <c r="H343" s="3" t="s">
        <v>1083</v>
      </c>
      <c r="I343" s="4">
        <v>2019.0</v>
      </c>
      <c r="J343" s="3">
        <v>2044.0</v>
      </c>
      <c r="K343" s="6">
        <v>43588.0</v>
      </c>
      <c r="L343" s="3">
        <v>19.5</v>
      </c>
      <c r="M343" s="3" t="s">
        <v>130</v>
      </c>
      <c r="N343" s="7">
        <v>43514.0</v>
      </c>
      <c r="O343" s="3">
        <v>0.0</v>
      </c>
      <c r="P343" s="9"/>
      <c r="Q343" s="9" t="s">
        <v>1136</v>
      </c>
      <c r="R343" s="9" t="s">
        <v>548</v>
      </c>
      <c r="S343" s="3" t="s">
        <v>1137</v>
      </c>
    </row>
    <row r="344">
      <c r="A344" s="3" t="s">
        <v>1138</v>
      </c>
      <c r="B344" s="3">
        <v>2017.0</v>
      </c>
      <c r="C344" s="3" t="s">
        <v>1086</v>
      </c>
      <c r="E344" s="3" t="s">
        <v>36</v>
      </c>
      <c r="F344" s="3" t="s">
        <v>29</v>
      </c>
      <c r="G344" s="3" t="s">
        <v>44</v>
      </c>
      <c r="H344" s="3" t="s">
        <v>46</v>
      </c>
      <c r="I344" s="4">
        <v>2021.0</v>
      </c>
      <c r="J344" s="3">
        <v>2042.0</v>
      </c>
      <c r="K344" s="6">
        <v>43588.0</v>
      </c>
      <c r="L344" s="3">
        <v>19.95</v>
      </c>
      <c r="M344" s="3" t="s">
        <v>190</v>
      </c>
      <c r="N344" s="10">
        <v>43748.0</v>
      </c>
      <c r="O344" s="3">
        <v>1.0</v>
      </c>
      <c r="P344">
        <f t="shared" ref="P344:P346" si="45">O344*L344</f>
        <v>19.95</v>
      </c>
      <c r="Q344" s="13"/>
      <c r="R344" s="13"/>
      <c r="S344" s="3" t="s">
        <v>1139</v>
      </c>
    </row>
    <row r="345">
      <c r="A345" s="3" t="s">
        <v>1140</v>
      </c>
      <c r="B345" s="3">
        <v>2017.0</v>
      </c>
      <c r="C345" s="3" t="s">
        <v>1015</v>
      </c>
      <c r="D345" s="3" t="s">
        <v>1141</v>
      </c>
      <c r="F345" s="3" t="s">
        <v>29</v>
      </c>
      <c r="G345" s="3" t="s">
        <v>44</v>
      </c>
      <c r="H345" s="3" t="s">
        <v>46</v>
      </c>
      <c r="I345" s="4">
        <v>2021.0</v>
      </c>
      <c r="J345" s="3">
        <v>2042.0</v>
      </c>
      <c r="K345" s="6">
        <v>43954.0</v>
      </c>
      <c r="L345" s="3">
        <v>18.5</v>
      </c>
      <c r="M345" s="3" t="s">
        <v>235</v>
      </c>
      <c r="N345" s="7">
        <v>44107.0</v>
      </c>
      <c r="O345" s="3">
        <v>2.0</v>
      </c>
      <c r="P345">
        <f t="shared" si="45"/>
        <v>37</v>
      </c>
      <c r="Q345" s="10">
        <v>45224.0</v>
      </c>
      <c r="R345" s="3">
        <v>4.0</v>
      </c>
      <c r="S345" s="3" t="s">
        <v>1142</v>
      </c>
    </row>
    <row r="346">
      <c r="A346" s="3" t="s">
        <v>1143</v>
      </c>
      <c r="B346" s="3">
        <v>2017.0</v>
      </c>
      <c r="C346" s="3" t="s">
        <v>1111</v>
      </c>
      <c r="D346" s="3" t="s">
        <v>1144</v>
      </c>
      <c r="F346" s="3" t="s">
        <v>29</v>
      </c>
      <c r="G346" s="3" t="s">
        <v>44</v>
      </c>
      <c r="H346" s="3" t="s">
        <v>205</v>
      </c>
      <c r="I346" s="4">
        <v>2021.0</v>
      </c>
      <c r="J346" s="3">
        <v>2042.0</v>
      </c>
      <c r="K346" s="6">
        <v>43588.0</v>
      </c>
      <c r="L346" s="3">
        <v>22.5</v>
      </c>
      <c r="M346" s="3" t="s">
        <v>190</v>
      </c>
      <c r="N346" s="10">
        <v>43748.0</v>
      </c>
      <c r="O346" s="3">
        <v>1.0</v>
      </c>
      <c r="P346">
        <f t="shared" si="45"/>
        <v>22.5</v>
      </c>
      <c r="Q346" s="13"/>
      <c r="R346" s="13"/>
    </row>
    <row r="347">
      <c r="A347" s="3" t="s">
        <v>1145</v>
      </c>
      <c r="B347" s="3">
        <v>2015.0</v>
      </c>
      <c r="C347" s="3" t="s">
        <v>1128</v>
      </c>
      <c r="F347" s="3" t="s">
        <v>29</v>
      </c>
      <c r="G347" s="3" t="s">
        <v>44</v>
      </c>
      <c r="H347" s="3" t="s">
        <v>702</v>
      </c>
      <c r="I347" s="4">
        <v>2019.0</v>
      </c>
      <c r="J347" s="3">
        <v>2045.0</v>
      </c>
      <c r="K347" s="6">
        <v>43589.0</v>
      </c>
      <c r="L347" s="3">
        <v>12.5</v>
      </c>
      <c r="M347" s="3" t="s">
        <v>190</v>
      </c>
      <c r="N347" s="7">
        <v>43741.0</v>
      </c>
      <c r="O347" s="3">
        <v>0.0</v>
      </c>
      <c r="P347" s="9"/>
      <c r="Q347" s="9" t="s">
        <v>1146</v>
      </c>
      <c r="R347" s="9" t="s">
        <v>548</v>
      </c>
      <c r="S347" s="3" t="s">
        <v>1147</v>
      </c>
    </row>
    <row r="348">
      <c r="A348" s="3" t="s">
        <v>1148</v>
      </c>
      <c r="B348" s="3">
        <v>2017.0</v>
      </c>
      <c r="C348" s="3" t="s">
        <v>1122</v>
      </c>
      <c r="F348" s="3" t="s">
        <v>29</v>
      </c>
      <c r="G348" s="3" t="s">
        <v>129</v>
      </c>
      <c r="H348" s="3" t="s">
        <v>250</v>
      </c>
      <c r="I348" s="4">
        <v>2022.0</v>
      </c>
      <c r="J348" s="3">
        <v>2042.0</v>
      </c>
      <c r="K348" s="6">
        <v>43588.0</v>
      </c>
      <c r="L348" s="3">
        <v>26.0</v>
      </c>
      <c r="M348" s="3" t="s">
        <v>118</v>
      </c>
      <c r="N348" s="7">
        <v>43548.0</v>
      </c>
      <c r="O348" s="3">
        <v>1.0</v>
      </c>
      <c r="P348">
        <f t="shared" ref="P348:P352" si="46">O348*L348</f>
        <v>26</v>
      </c>
      <c r="Q348" s="13"/>
      <c r="R348" s="13"/>
    </row>
    <row r="349">
      <c r="A349" s="3" t="s">
        <v>1149</v>
      </c>
      <c r="B349" s="3">
        <v>2022.0</v>
      </c>
      <c r="C349" s="3" t="s">
        <v>1058</v>
      </c>
      <c r="D349" s="3" t="s">
        <v>1150</v>
      </c>
      <c r="F349" s="3" t="s">
        <v>29</v>
      </c>
      <c r="G349" s="3" t="s">
        <v>163</v>
      </c>
      <c r="H349" s="3" t="s">
        <v>999</v>
      </c>
      <c r="I349" s="3">
        <v>2026.0</v>
      </c>
      <c r="J349" s="3">
        <v>2042.0</v>
      </c>
      <c r="K349" s="6">
        <v>45781.0</v>
      </c>
      <c r="L349" s="3">
        <v>15.9</v>
      </c>
      <c r="M349" s="3" t="s">
        <v>885</v>
      </c>
      <c r="N349" s="7">
        <v>45913.0</v>
      </c>
      <c r="O349" s="3">
        <v>1.0</v>
      </c>
      <c r="P349">
        <f t="shared" si="46"/>
        <v>15.9</v>
      </c>
    </row>
    <row r="350">
      <c r="A350" s="3" t="s">
        <v>1085</v>
      </c>
      <c r="B350" s="3">
        <v>2018.0</v>
      </c>
      <c r="C350" s="3" t="s">
        <v>1086</v>
      </c>
      <c r="E350" s="3" t="s">
        <v>424</v>
      </c>
      <c r="F350" s="3" t="s">
        <v>29</v>
      </c>
      <c r="G350" s="3" t="s">
        <v>44</v>
      </c>
      <c r="H350" s="3" t="s">
        <v>46</v>
      </c>
      <c r="I350" s="4">
        <v>2022.0</v>
      </c>
      <c r="J350" s="3">
        <v>2043.0</v>
      </c>
      <c r="K350" s="6">
        <v>45782.0</v>
      </c>
      <c r="L350" s="3">
        <v>23.9</v>
      </c>
      <c r="M350" s="3" t="s">
        <v>885</v>
      </c>
      <c r="N350" s="7">
        <v>45913.0</v>
      </c>
      <c r="O350" s="3">
        <v>1.0</v>
      </c>
      <c r="P350">
        <f t="shared" si="46"/>
        <v>23.9</v>
      </c>
    </row>
    <row r="351">
      <c r="A351" s="3" t="s">
        <v>1151</v>
      </c>
      <c r="B351" s="3">
        <v>2018.0</v>
      </c>
      <c r="C351" s="3" t="s">
        <v>1103</v>
      </c>
      <c r="D351" s="3" t="s">
        <v>1152</v>
      </c>
      <c r="F351" s="3" t="s">
        <v>29</v>
      </c>
      <c r="G351" s="3" t="s">
        <v>44</v>
      </c>
      <c r="H351" s="3" t="s">
        <v>1104</v>
      </c>
      <c r="I351" s="4">
        <v>2023.0</v>
      </c>
      <c r="J351" s="3">
        <v>2043.0</v>
      </c>
      <c r="K351" s="6">
        <v>43955.0</v>
      </c>
      <c r="L351" s="3">
        <v>14.9</v>
      </c>
      <c r="M351" s="3" t="s">
        <v>270</v>
      </c>
      <c r="N351" s="7">
        <v>43846.0</v>
      </c>
      <c r="O351" s="3">
        <v>7.0</v>
      </c>
      <c r="P351">
        <f t="shared" si="46"/>
        <v>104.3</v>
      </c>
      <c r="Q351" s="9" t="s">
        <v>1153</v>
      </c>
      <c r="R351" s="9" t="s">
        <v>107</v>
      </c>
      <c r="S351" s="3" t="s">
        <v>1154</v>
      </c>
    </row>
    <row r="352">
      <c r="A352" s="3" t="s">
        <v>1155</v>
      </c>
      <c r="B352" s="3">
        <v>2018.0</v>
      </c>
      <c r="C352" s="3" t="s">
        <v>1103</v>
      </c>
      <c r="D352" s="3" t="s">
        <v>1156</v>
      </c>
      <c r="F352" s="3" t="s">
        <v>29</v>
      </c>
      <c r="G352" s="3" t="s">
        <v>44</v>
      </c>
      <c r="H352" s="3" t="s">
        <v>1104</v>
      </c>
      <c r="I352" s="4">
        <v>2023.0</v>
      </c>
      <c r="J352" s="3">
        <v>2043.0</v>
      </c>
      <c r="K352" s="6">
        <v>43955.0</v>
      </c>
      <c r="L352" s="3">
        <v>15.0</v>
      </c>
      <c r="M352" s="3" t="s">
        <v>118</v>
      </c>
      <c r="N352" s="7">
        <v>45263.0</v>
      </c>
      <c r="O352" s="3">
        <v>2.0</v>
      </c>
      <c r="P352">
        <f t="shared" si="46"/>
        <v>30</v>
      </c>
    </row>
    <row r="353">
      <c r="A353" s="3" t="s">
        <v>1157</v>
      </c>
      <c r="B353" s="3">
        <v>2016.0</v>
      </c>
      <c r="C353" s="3" t="s">
        <v>1082</v>
      </c>
      <c r="F353" s="3" t="s">
        <v>29</v>
      </c>
      <c r="G353" s="3" t="s">
        <v>44</v>
      </c>
      <c r="H353" s="3" t="s">
        <v>1083</v>
      </c>
      <c r="I353" s="4">
        <v>2021.0</v>
      </c>
      <c r="J353" s="3">
        <v>2046.0</v>
      </c>
      <c r="K353" s="6">
        <v>43590.0</v>
      </c>
      <c r="L353" s="3">
        <v>29.95</v>
      </c>
      <c r="M353" s="3" t="s">
        <v>190</v>
      </c>
      <c r="N353" s="7">
        <v>43740.0</v>
      </c>
      <c r="O353" s="3">
        <v>0.0</v>
      </c>
      <c r="P353" s="12"/>
      <c r="Q353" s="12">
        <v>45178.0</v>
      </c>
      <c r="R353" s="9">
        <v>4.0</v>
      </c>
      <c r="S353" s="3" t="s">
        <v>1158</v>
      </c>
    </row>
    <row r="354">
      <c r="A354" s="3" t="s">
        <v>270</v>
      </c>
      <c r="B354" s="3">
        <v>2019.0</v>
      </c>
      <c r="C354" s="3" t="s">
        <v>1131</v>
      </c>
      <c r="F354" s="3" t="s">
        <v>29</v>
      </c>
      <c r="G354" s="3" t="s">
        <v>44</v>
      </c>
      <c r="H354" s="3" t="s">
        <v>702</v>
      </c>
      <c r="I354" s="4">
        <v>2023.0</v>
      </c>
      <c r="J354" s="3">
        <v>2044.0</v>
      </c>
      <c r="K354" s="6">
        <v>44320.0</v>
      </c>
      <c r="L354" s="3">
        <v>24.9</v>
      </c>
      <c r="M354" s="3" t="s">
        <v>270</v>
      </c>
      <c r="N354" s="7">
        <v>44434.0</v>
      </c>
      <c r="O354" s="3">
        <v>5.0</v>
      </c>
      <c r="P354">
        <f t="shared" ref="P354:P362" si="47">O354*L354</f>
        <v>124.5</v>
      </c>
      <c r="Q354" s="7">
        <v>45723.0</v>
      </c>
      <c r="R354" s="3">
        <v>4.0</v>
      </c>
      <c r="S354" s="3" t="s">
        <v>1159</v>
      </c>
    </row>
    <row r="355">
      <c r="A355" s="3" t="s">
        <v>723</v>
      </c>
      <c r="B355" s="3">
        <v>2019.0</v>
      </c>
      <c r="C355" s="3" t="s">
        <v>1122</v>
      </c>
      <c r="F355" s="3" t="s">
        <v>29</v>
      </c>
      <c r="G355" s="3" t="s">
        <v>129</v>
      </c>
      <c r="H355" s="3" t="s">
        <v>250</v>
      </c>
      <c r="I355" s="4">
        <v>2024.0</v>
      </c>
      <c r="J355" s="3">
        <v>2044.0</v>
      </c>
      <c r="K355" s="6">
        <v>45050.0</v>
      </c>
      <c r="L355" s="3">
        <v>31.8</v>
      </c>
      <c r="M355" s="3" t="s">
        <v>0</v>
      </c>
      <c r="N355" s="7">
        <v>45073.0</v>
      </c>
      <c r="O355" s="3">
        <v>1.0</v>
      </c>
      <c r="P355">
        <f t="shared" si="47"/>
        <v>31.8</v>
      </c>
    </row>
    <row r="356">
      <c r="A356" s="3" t="s">
        <v>1160</v>
      </c>
      <c r="B356" s="3">
        <v>2015.0</v>
      </c>
      <c r="C356" s="3" t="s">
        <v>1128</v>
      </c>
      <c r="F356" s="3" t="s">
        <v>29</v>
      </c>
      <c r="G356" s="3" t="s">
        <v>44</v>
      </c>
      <c r="H356" s="3" t="s">
        <v>702</v>
      </c>
      <c r="I356" s="4">
        <v>2019.0</v>
      </c>
      <c r="J356" s="3">
        <v>2045.0</v>
      </c>
      <c r="K356" s="6">
        <v>43589.0</v>
      </c>
      <c r="L356" s="9">
        <v>22.0</v>
      </c>
      <c r="M356" s="3" t="s">
        <v>1161</v>
      </c>
      <c r="N356" s="9" t="s">
        <v>1162</v>
      </c>
      <c r="O356" s="3">
        <v>3.0</v>
      </c>
      <c r="P356">
        <f t="shared" si="47"/>
        <v>66</v>
      </c>
      <c r="Q356" s="9" t="s">
        <v>1163</v>
      </c>
      <c r="R356" s="9" t="s">
        <v>1164</v>
      </c>
      <c r="S356" s="3" t="s">
        <v>1165</v>
      </c>
    </row>
    <row r="357">
      <c r="A357" s="3" t="s">
        <v>1135</v>
      </c>
      <c r="B357" s="3">
        <v>2015.0</v>
      </c>
      <c r="C357" s="3" t="s">
        <v>1082</v>
      </c>
      <c r="F357" s="3" t="s">
        <v>29</v>
      </c>
      <c r="G357" s="3" t="s">
        <v>44</v>
      </c>
      <c r="H357" s="3" t="s">
        <v>1083</v>
      </c>
      <c r="I357" s="4">
        <v>2020.0</v>
      </c>
      <c r="J357" s="3">
        <v>2045.0</v>
      </c>
      <c r="K357" s="6">
        <v>43955.0</v>
      </c>
      <c r="L357" s="3">
        <v>23.3</v>
      </c>
      <c r="M357" s="3" t="s">
        <v>1166</v>
      </c>
      <c r="N357" s="7">
        <v>43868.0</v>
      </c>
      <c r="O357" s="3">
        <v>2.0</v>
      </c>
      <c r="P357">
        <f t="shared" si="47"/>
        <v>46.6</v>
      </c>
      <c r="Q357" s="7">
        <v>44597.0</v>
      </c>
      <c r="R357" s="3">
        <v>4.0</v>
      </c>
      <c r="S357" s="3" t="s">
        <v>1167</v>
      </c>
    </row>
    <row r="358">
      <c r="A358" s="3" t="s">
        <v>723</v>
      </c>
      <c r="B358" s="3">
        <v>2020.0</v>
      </c>
      <c r="C358" s="3" t="s">
        <v>1122</v>
      </c>
      <c r="D358" s="3" t="s">
        <v>1168</v>
      </c>
      <c r="E358" s="3" t="s">
        <v>727</v>
      </c>
      <c r="F358" s="3" t="s">
        <v>29</v>
      </c>
      <c r="G358" s="3" t="s">
        <v>129</v>
      </c>
      <c r="H358" s="3" t="s">
        <v>250</v>
      </c>
      <c r="I358" s="4">
        <v>2025.0</v>
      </c>
      <c r="J358" s="3">
        <v>2045.0</v>
      </c>
      <c r="K358" s="6">
        <v>45050.0</v>
      </c>
      <c r="L358" s="3">
        <v>40.4</v>
      </c>
      <c r="M358" s="3" t="s">
        <v>0</v>
      </c>
      <c r="N358" s="7">
        <v>45073.0</v>
      </c>
      <c r="O358" s="3">
        <v>1.0</v>
      </c>
      <c r="P358">
        <f t="shared" si="47"/>
        <v>40.4</v>
      </c>
    </row>
    <row r="359">
      <c r="A359" s="3" t="s">
        <v>1169</v>
      </c>
      <c r="B359" s="3">
        <v>2016.0</v>
      </c>
      <c r="C359" s="3" t="s">
        <v>1128</v>
      </c>
      <c r="E359" s="3" t="s">
        <v>424</v>
      </c>
      <c r="F359" s="3" t="s">
        <v>29</v>
      </c>
      <c r="G359" s="3" t="s">
        <v>44</v>
      </c>
      <c r="H359" s="3" t="s">
        <v>702</v>
      </c>
      <c r="I359" s="4">
        <v>2020.0</v>
      </c>
      <c r="J359" s="3">
        <v>2046.0</v>
      </c>
      <c r="K359" s="6">
        <v>44321.0</v>
      </c>
      <c r="L359" s="3">
        <v>19.9</v>
      </c>
      <c r="M359" s="3" t="s">
        <v>184</v>
      </c>
      <c r="N359" s="10">
        <v>45289.0</v>
      </c>
      <c r="O359" s="3">
        <v>2.0</v>
      </c>
      <c r="P359">
        <f t="shared" si="47"/>
        <v>39.8</v>
      </c>
    </row>
    <row r="360">
      <c r="A360" s="3" t="s">
        <v>1170</v>
      </c>
      <c r="B360" s="3">
        <v>2016.0</v>
      </c>
      <c r="C360" s="3" t="s">
        <v>1128</v>
      </c>
      <c r="F360" s="3" t="s">
        <v>29</v>
      </c>
      <c r="G360" s="3" t="s">
        <v>44</v>
      </c>
      <c r="H360" s="3" t="s">
        <v>702</v>
      </c>
      <c r="I360" s="4">
        <v>2020.0</v>
      </c>
      <c r="J360" s="3">
        <v>2046.0</v>
      </c>
      <c r="K360" s="6">
        <v>44321.0</v>
      </c>
      <c r="L360" s="3">
        <v>21.8</v>
      </c>
      <c r="M360" s="3" t="s">
        <v>184</v>
      </c>
      <c r="N360" s="7">
        <v>44345.0</v>
      </c>
      <c r="O360" s="3">
        <v>1.0</v>
      </c>
      <c r="P360">
        <f t="shared" si="47"/>
        <v>21.8</v>
      </c>
      <c r="Q360" s="7">
        <v>44388.0</v>
      </c>
      <c r="R360" s="3">
        <v>4.0</v>
      </c>
      <c r="S360" s="3" t="s">
        <v>1171</v>
      </c>
    </row>
    <row r="361">
      <c r="A361" s="3" t="s">
        <v>1172</v>
      </c>
      <c r="B361" s="3">
        <v>2016.0</v>
      </c>
      <c r="C361" s="3" t="s">
        <v>1082</v>
      </c>
      <c r="D361" s="3" t="s">
        <v>1173</v>
      </c>
      <c r="F361" s="3" t="s">
        <v>29</v>
      </c>
      <c r="G361" s="3" t="s">
        <v>44</v>
      </c>
      <c r="H361" s="3" t="s">
        <v>1083</v>
      </c>
      <c r="I361" s="4">
        <v>2021.0</v>
      </c>
      <c r="J361" s="3">
        <v>2046.0</v>
      </c>
      <c r="K361" s="6">
        <v>43590.0</v>
      </c>
      <c r="M361" s="3" t="s">
        <v>1174</v>
      </c>
      <c r="N361" s="7">
        <v>44449.0</v>
      </c>
      <c r="O361" s="3">
        <v>1.0</v>
      </c>
      <c r="P361">
        <f t="shared" si="47"/>
        <v>0</v>
      </c>
    </row>
    <row r="362">
      <c r="A362" s="3" t="s">
        <v>1175</v>
      </c>
      <c r="B362" s="3">
        <v>2021.0</v>
      </c>
      <c r="C362" s="3" t="s">
        <v>1111</v>
      </c>
      <c r="E362" s="3" t="s">
        <v>887</v>
      </c>
      <c r="F362" s="3" t="s">
        <v>29</v>
      </c>
      <c r="G362" s="3" t="s">
        <v>44</v>
      </c>
      <c r="H362" s="3" t="s">
        <v>205</v>
      </c>
      <c r="I362" s="4">
        <v>2025.0</v>
      </c>
      <c r="J362" s="3">
        <v>2046.0</v>
      </c>
      <c r="L362" s="3">
        <v>44.16</v>
      </c>
      <c r="M362" s="3" t="s">
        <v>270</v>
      </c>
      <c r="N362" s="7">
        <v>45358.0</v>
      </c>
      <c r="O362" s="3">
        <v>6.0</v>
      </c>
      <c r="P362">
        <f t="shared" si="47"/>
        <v>264.96</v>
      </c>
    </row>
    <row r="363">
      <c r="A363" s="3" t="s">
        <v>1176</v>
      </c>
      <c r="C363" s="3" t="s">
        <v>1177</v>
      </c>
      <c r="F363" s="3" t="s">
        <v>204</v>
      </c>
      <c r="G363" s="3" t="s">
        <v>71</v>
      </c>
      <c r="L363" s="3">
        <v>6.5</v>
      </c>
      <c r="M363" s="3" t="s">
        <v>55</v>
      </c>
      <c r="N363" s="7">
        <v>43876.0</v>
      </c>
      <c r="O363" s="3">
        <v>0.0</v>
      </c>
      <c r="P363" s="7"/>
      <c r="Q363" s="7">
        <v>43889.0</v>
      </c>
      <c r="R363" s="3">
        <v>3.0</v>
      </c>
      <c r="S363" s="3" t="s">
        <v>1178</v>
      </c>
    </row>
    <row r="364">
      <c r="A364" s="18" t="s">
        <v>1179</v>
      </c>
      <c r="C364" s="3" t="s">
        <v>52</v>
      </c>
      <c r="D364" s="3" t="s">
        <v>1180</v>
      </c>
      <c r="F364" s="3" t="s">
        <v>54</v>
      </c>
      <c r="G364" s="3" t="s">
        <v>52</v>
      </c>
      <c r="M364" s="3" t="s">
        <v>1181</v>
      </c>
      <c r="N364" s="7">
        <v>44200.0</v>
      </c>
      <c r="O364" s="3">
        <v>0.0</v>
      </c>
      <c r="P364" s="7"/>
      <c r="Q364" s="7">
        <v>45107.0</v>
      </c>
      <c r="R364" s="3">
        <v>4.5</v>
      </c>
      <c r="S364" s="3" t="s">
        <v>1182</v>
      </c>
    </row>
    <row r="365">
      <c r="A365" s="3" t="s">
        <v>1183</v>
      </c>
      <c r="B365" s="3">
        <v>2017.0</v>
      </c>
      <c r="C365" s="3" t="s">
        <v>1184</v>
      </c>
      <c r="F365" s="3" t="s">
        <v>22</v>
      </c>
      <c r="G365" s="3" t="s">
        <v>1185</v>
      </c>
      <c r="N365" s="7">
        <v>43490.0</v>
      </c>
      <c r="O365" s="3">
        <v>0.0</v>
      </c>
      <c r="P365" s="9"/>
      <c r="Q365" s="9" t="s">
        <v>1186</v>
      </c>
      <c r="R365" s="9" t="s">
        <v>1187</v>
      </c>
      <c r="S365" s="3" t="s">
        <v>1188</v>
      </c>
    </row>
    <row r="366">
      <c r="A366" s="3" t="s">
        <v>1183</v>
      </c>
      <c r="B366" s="3">
        <v>2018.0</v>
      </c>
      <c r="C366" s="3" t="s">
        <v>1184</v>
      </c>
      <c r="D366" s="3"/>
      <c r="F366" s="3" t="s">
        <v>22</v>
      </c>
      <c r="G366" s="3" t="s">
        <v>1185</v>
      </c>
      <c r="H366" s="3"/>
      <c r="K366" s="6"/>
      <c r="L366" s="3"/>
      <c r="M366" s="3"/>
      <c r="N366" s="7">
        <v>43820.0</v>
      </c>
      <c r="O366" s="3">
        <v>0.0</v>
      </c>
      <c r="P366" s="9"/>
      <c r="Q366" s="9" t="s">
        <v>1189</v>
      </c>
      <c r="R366" s="9" t="s">
        <v>241</v>
      </c>
      <c r="S366" s="3" t="s">
        <v>1190</v>
      </c>
    </row>
    <row r="367">
      <c r="A367" s="3" t="s">
        <v>173</v>
      </c>
      <c r="B367" s="3">
        <v>2015.0</v>
      </c>
      <c r="C367" s="3" t="s">
        <v>174</v>
      </c>
      <c r="D367" s="3" t="s">
        <v>1191</v>
      </c>
      <c r="F367" s="3" t="s">
        <v>29</v>
      </c>
      <c r="G367" s="3" t="s">
        <v>176</v>
      </c>
      <c r="H367" s="3" t="s">
        <v>1192</v>
      </c>
      <c r="K367" s="6">
        <v>43590.0</v>
      </c>
      <c r="L367" s="3">
        <v>19.75</v>
      </c>
      <c r="M367" s="3" t="s">
        <v>178</v>
      </c>
      <c r="N367" s="7">
        <v>43595.0</v>
      </c>
      <c r="O367" s="3">
        <v>0.0</v>
      </c>
      <c r="P367">
        <f t="shared" ref="P367:P369" si="48">O367*L367</f>
        <v>0</v>
      </c>
      <c r="Q367" s="12">
        <v>45787.0</v>
      </c>
      <c r="R367" s="9">
        <v>3.5</v>
      </c>
      <c r="S367" s="3" t="s">
        <v>1193</v>
      </c>
    </row>
    <row r="368">
      <c r="A368" s="3" t="s">
        <v>1116</v>
      </c>
      <c r="B368" s="3">
        <v>2022.0</v>
      </c>
      <c r="C368" s="3" t="s">
        <v>1111</v>
      </c>
      <c r="F368" s="3" t="s">
        <v>29</v>
      </c>
      <c r="G368" s="3" t="s">
        <v>44</v>
      </c>
      <c r="H368" s="3" t="s">
        <v>1117</v>
      </c>
      <c r="I368" s="3">
        <v>2026.0</v>
      </c>
      <c r="J368" s="3">
        <v>2047.0</v>
      </c>
      <c r="K368" s="6">
        <v>45782.0</v>
      </c>
      <c r="L368" s="3">
        <v>26.0</v>
      </c>
      <c r="M368" s="3" t="s">
        <v>118</v>
      </c>
      <c r="N368" s="7">
        <v>45739.0</v>
      </c>
      <c r="O368" s="3">
        <v>2.0</v>
      </c>
      <c r="P368">
        <f t="shared" si="48"/>
        <v>52</v>
      </c>
    </row>
    <row r="369">
      <c r="A369" s="3" t="s">
        <v>492</v>
      </c>
      <c r="C369" s="3" t="s">
        <v>44</v>
      </c>
      <c r="D369" s="3" t="s">
        <v>1194</v>
      </c>
      <c r="F369" s="3" t="s">
        <v>204</v>
      </c>
      <c r="G369" s="3" t="s">
        <v>44</v>
      </c>
      <c r="H369" s="3" t="s">
        <v>415</v>
      </c>
      <c r="L369" s="3">
        <v>12.0</v>
      </c>
      <c r="M369" s="3" t="s">
        <v>55</v>
      </c>
      <c r="N369" s="7">
        <v>45557.0</v>
      </c>
      <c r="O369" s="3">
        <v>0.0</v>
      </c>
      <c r="P369">
        <f t="shared" si="48"/>
        <v>0</v>
      </c>
      <c r="Q369" s="7">
        <v>45836.0</v>
      </c>
      <c r="R369" s="3">
        <v>2.5</v>
      </c>
      <c r="S369" s="3" t="s">
        <v>1195</v>
      </c>
    </row>
    <row r="370">
      <c r="A370" s="3" t="s">
        <v>1196</v>
      </c>
      <c r="C370" s="3" t="s">
        <v>52</v>
      </c>
      <c r="F370" s="3" t="s">
        <v>54</v>
      </c>
      <c r="G370" s="3" t="s">
        <v>52</v>
      </c>
      <c r="M370" s="3" t="s">
        <v>55</v>
      </c>
      <c r="N370" s="10">
        <v>43785.0</v>
      </c>
      <c r="O370" s="3">
        <v>0.0</v>
      </c>
      <c r="P370" s="9"/>
      <c r="Q370" s="9" t="s">
        <v>1197</v>
      </c>
      <c r="R370" s="9" t="s">
        <v>1198</v>
      </c>
      <c r="S370" s="3" t="s">
        <v>1199</v>
      </c>
    </row>
    <row r="371">
      <c r="A371" s="3" t="s">
        <v>1151</v>
      </c>
      <c r="B371" s="3">
        <v>2018.0</v>
      </c>
      <c r="C371" s="3" t="s">
        <v>1128</v>
      </c>
      <c r="F371" s="3" t="s">
        <v>29</v>
      </c>
      <c r="G371" s="3" t="s">
        <v>44</v>
      </c>
      <c r="H371" s="3" t="s">
        <v>702</v>
      </c>
      <c r="I371" s="4">
        <v>2022.0</v>
      </c>
      <c r="J371" s="3">
        <v>2048.0</v>
      </c>
      <c r="K371" s="6">
        <v>43955.0</v>
      </c>
      <c r="L371" s="3">
        <v>19.9</v>
      </c>
      <c r="M371" s="3" t="s">
        <v>270</v>
      </c>
      <c r="N371" s="7">
        <v>43970.0</v>
      </c>
      <c r="O371" s="3">
        <v>5.0</v>
      </c>
      <c r="P371">
        <f>O371*L371</f>
        <v>99.5</v>
      </c>
      <c r="Q371" s="10">
        <v>45612.0</v>
      </c>
      <c r="R371" s="3">
        <v>4.0</v>
      </c>
      <c r="S371" s="3" t="s">
        <v>1200</v>
      </c>
    </row>
    <row r="372">
      <c r="A372" s="3" t="s">
        <v>1201</v>
      </c>
      <c r="B372" s="3">
        <v>2016.0</v>
      </c>
      <c r="C372" s="3" t="s">
        <v>274</v>
      </c>
      <c r="F372" s="3" t="s">
        <v>29</v>
      </c>
      <c r="G372" s="3" t="s">
        <v>509</v>
      </c>
      <c r="H372" s="3" t="s">
        <v>274</v>
      </c>
      <c r="M372" s="3" t="s">
        <v>1105</v>
      </c>
      <c r="N372" s="10">
        <v>44184.0</v>
      </c>
      <c r="O372" s="3">
        <v>0.0</v>
      </c>
      <c r="P372" s="7"/>
      <c r="Q372" s="7">
        <v>44400.0</v>
      </c>
      <c r="R372" s="3">
        <v>4.0</v>
      </c>
      <c r="S372" s="3" t="s">
        <v>1202</v>
      </c>
    </row>
    <row r="373">
      <c r="A373" s="3" t="s">
        <v>1203</v>
      </c>
      <c r="C373" s="3" t="s">
        <v>52</v>
      </c>
      <c r="D373" s="3" t="s">
        <v>1204</v>
      </c>
      <c r="F373" s="3" t="s">
        <v>54</v>
      </c>
      <c r="G373" s="3" t="s">
        <v>52</v>
      </c>
      <c r="M373" s="3" t="s">
        <v>499</v>
      </c>
      <c r="N373" s="7">
        <v>44766.0</v>
      </c>
      <c r="O373" s="3">
        <v>0.0</v>
      </c>
      <c r="P373" s="7"/>
      <c r="Q373" s="7">
        <v>44934.0</v>
      </c>
      <c r="R373" s="3">
        <v>3.5</v>
      </c>
      <c r="S373" s="3" t="s">
        <v>1205</v>
      </c>
    </row>
    <row r="374">
      <c r="A374" s="3" t="s">
        <v>1206</v>
      </c>
      <c r="B374" s="3">
        <v>2019.0</v>
      </c>
      <c r="C374" s="3" t="s">
        <v>1128</v>
      </c>
      <c r="F374" s="3" t="s">
        <v>29</v>
      </c>
      <c r="G374" s="3" t="s">
        <v>44</v>
      </c>
      <c r="H374" s="3" t="s">
        <v>702</v>
      </c>
      <c r="I374" s="4">
        <v>2023.0</v>
      </c>
      <c r="J374" s="3">
        <v>2049.0</v>
      </c>
      <c r="K374" s="6">
        <v>44685.0</v>
      </c>
      <c r="L374" s="3">
        <v>23.0</v>
      </c>
      <c r="M374" s="3" t="s">
        <v>118</v>
      </c>
      <c r="N374" s="7">
        <v>44640.0</v>
      </c>
      <c r="O374" s="3">
        <v>2.0</v>
      </c>
      <c r="P374">
        <f>O374*L374</f>
        <v>46</v>
      </c>
    </row>
    <row r="375">
      <c r="A375" s="3" t="s">
        <v>51</v>
      </c>
      <c r="C375" s="3" t="s">
        <v>52</v>
      </c>
      <c r="D375" s="3" t="s">
        <v>1207</v>
      </c>
      <c r="F375" s="3" t="s">
        <v>54</v>
      </c>
      <c r="G375" s="3" t="s">
        <v>52</v>
      </c>
      <c r="M375" s="3" t="s">
        <v>55</v>
      </c>
      <c r="O375" s="3">
        <v>0.0</v>
      </c>
      <c r="P375" s="9"/>
      <c r="Q375" s="9" t="s">
        <v>1208</v>
      </c>
      <c r="R375" s="3">
        <v>3.5</v>
      </c>
      <c r="S375" s="3" t="s">
        <v>1209</v>
      </c>
    </row>
    <row r="376">
      <c r="A376" s="3" t="s">
        <v>51</v>
      </c>
      <c r="C376" s="3" t="s">
        <v>52</v>
      </c>
      <c r="D376" s="3" t="s">
        <v>1210</v>
      </c>
      <c r="F376" s="3" t="s">
        <v>54</v>
      </c>
      <c r="G376" s="3" t="s">
        <v>52</v>
      </c>
      <c r="M376" s="3" t="s">
        <v>55</v>
      </c>
      <c r="O376" s="3">
        <v>0.0</v>
      </c>
      <c r="P376" s="12"/>
      <c r="Q376" s="12">
        <v>44377.0</v>
      </c>
      <c r="R376" s="9">
        <v>3.5</v>
      </c>
      <c r="S376" s="3" t="s">
        <v>1211</v>
      </c>
    </row>
    <row r="377">
      <c r="A377" s="3" t="s">
        <v>1212</v>
      </c>
      <c r="C377" s="3" t="s">
        <v>1213</v>
      </c>
      <c r="D377" s="3" t="s">
        <v>1214</v>
      </c>
      <c r="F377" s="3" t="s">
        <v>54</v>
      </c>
      <c r="G377" s="3" t="s">
        <v>1213</v>
      </c>
      <c r="M377" s="3" t="s">
        <v>675</v>
      </c>
      <c r="N377" s="7">
        <v>44377.0</v>
      </c>
      <c r="O377" s="3">
        <v>0.0</v>
      </c>
      <c r="P377" s="7"/>
      <c r="Q377" s="7">
        <v>44653.0</v>
      </c>
      <c r="R377" s="3">
        <v>3.5</v>
      </c>
      <c r="S377" s="3" t="s">
        <v>1215</v>
      </c>
    </row>
    <row r="378">
      <c r="A378" s="3" t="s">
        <v>1216</v>
      </c>
      <c r="B378" s="3">
        <v>2021.0</v>
      </c>
      <c r="C378" s="3" t="s">
        <v>567</v>
      </c>
      <c r="F378" s="3" t="s">
        <v>22</v>
      </c>
      <c r="G378" s="3" t="s">
        <v>1217</v>
      </c>
      <c r="H378" s="3" t="s">
        <v>164</v>
      </c>
      <c r="K378" s="6">
        <v>45416.0</v>
      </c>
      <c r="L378" s="3">
        <v>14.3</v>
      </c>
      <c r="M378" s="3" t="s">
        <v>184</v>
      </c>
      <c r="N378" s="10">
        <v>45289.0</v>
      </c>
      <c r="O378" s="3">
        <v>0.0</v>
      </c>
      <c r="P378">
        <f t="shared" ref="P378:P381" si="49">O378*L378</f>
        <v>0</v>
      </c>
      <c r="Q378" s="9" t="s">
        <v>1218</v>
      </c>
      <c r="R378" s="9" t="s">
        <v>295</v>
      </c>
      <c r="S378" s="3" t="s">
        <v>1219</v>
      </c>
    </row>
    <row r="379">
      <c r="A379" s="3" t="s">
        <v>1220</v>
      </c>
      <c r="B379" s="3">
        <v>2019.0</v>
      </c>
      <c r="C379" s="3" t="s">
        <v>1082</v>
      </c>
      <c r="F379" s="3" t="s">
        <v>29</v>
      </c>
      <c r="G379" s="3" t="s">
        <v>44</v>
      </c>
      <c r="H379" s="3" t="s">
        <v>1083</v>
      </c>
      <c r="I379" s="4">
        <v>2024.0</v>
      </c>
      <c r="J379" s="3">
        <v>2049.0</v>
      </c>
      <c r="K379" s="6">
        <v>44685.0</v>
      </c>
      <c r="L379" s="3">
        <v>48.0</v>
      </c>
      <c r="M379" s="3" t="s">
        <v>118</v>
      </c>
      <c r="N379" s="7">
        <v>44640.0</v>
      </c>
      <c r="O379" s="3">
        <v>2.0</v>
      </c>
      <c r="P379">
        <f t="shared" si="49"/>
        <v>96</v>
      </c>
      <c r="S379" s="3" t="s">
        <v>1221</v>
      </c>
    </row>
    <row r="380">
      <c r="A380" s="3" t="s">
        <v>1222</v>
      </c>
      <c r="C380" s="3" t="s">
        <v>52</v>
      </c>
      <c r="D380" s="3" t="s">
        <v>1223</v>
      </c>
      <c r="F380" s="3" t="s">
        <v>54</v>
      </c>
      <c r="G380" s="3" t="s">
        <v>52</v>
      </c>
      <c r="H380" s="3" t="s">
        <v>1224</v>
      </c>
      <c r="L380" s="3">
        <v>21.0</v>
      </c>
      <c r="M380" s="3" t="s">
        <v>55</v>
      </c>
      <c r="N380" s="7">
        <v>45557.0</v>
      </c>
      <c r="O380" s="3">
        <v>0.0</v>
      </c>
      <c r="P380">
        <f t="shared" si="49"/>
        <v>0</v>
      </c>
      <c r="Q380" s="9" t="s">
        <v>1225</v>
      </c>
      <c r="R380" s="9" t="s">
        <v>241</v>
      </c>
      <c r="S380" s="3" t="s">
        <v>1226</v>
      </c>
    </row>
    <row r="381">
      <c r="A381" s="3" t="s">
        <v>1227</v>
      </c>
      <c r="B381" s="3">
        <v>2020.0</v>
      </c>
      <c r="C381" s="3" t="s">
        <v>1128</v>
      </c>
      <c r="F381" s="3" t="s">
        <v>29</v>
      </c>
      <c r="G381" s="3" t="s">
        <v>44</v>
      </c>
      <c r="H381" s="3" t="s">
        <v>702</v>
      </c>
      <c r="I381" s="4">
        <v>2024.0</v>
      </c>
      <c r="J381" s="3">
        <v>2050.0</v>
      </c>
      <c r="K381" s="6">
        <v>45051.0</v>
      </c>
      <c r="L381" s="3">
        <v>22.44</v>
      </c>
      <c r="M381" s="3" t="s">
        <v>270</v>
      </c>
      <c r="N381" s="7">
        <v>44970.0</v>
      </c>
      <c r="O381" s="3">
        <v>6.0</v>
      </c>
      <c r="P381">
        <f t="shared" si="49"/>
        <v>134.64</v>
      </c>
    </row>
    <row r="382">
      <c r="A382" s="3" t="s">
        <v>226</v>
      </c>
      <c r="C382" s="3" t="s">
        <v>52</v>
      </c>
      <c r="D382" s="3" t="s">
        <v>1228</v>
      </c>
      <c r="E382" s="3" t="s">
        <v>727</v>
      </c>
      <c r="F382" s="3" t="s">
        <v>54</v>
      </c>
      <c r="G382" s="3" t="s">
        <v>52</v>
      </c>
      <c r="M382" s="3" t="s">
        <v>99</v>
      </c>
      <c r="N382" s="7">
        <v>43519.0</v>
      </c>
      <c r="O382" s="3">
        <v>0.0</v>
      </c>
      <c r="P382" s="12"/>
      <c r="Q382" s="12">
        <v>44666.0</v>
      </c>
      <c r="R382" s="13"/>
      <c r="S382" s="3" t="s">
        <v>1229</v>
      </c>
    </row>
    <row r="383">
      <c r="A383" s="3" t="s">
        <v>226</v>
      </c>
      <c r="C383" s="3" t="s">
        <v>52</v>
      </c>
      <c r="D383" s="3" t="s">
        <v>1230</v>
      </c>
      <c r="E383" s="3" t="s">
        <v>727</v>
      </c>
      <c r="F383" s="3" t="s">
        <v>54</v>
      </c>
      <c r="G383" s="3" t="s">
        <v>52</v>
      </c>
      <c r="M383" s="3" t="s">
        <v>99</v>
      </c>
      <c r="N383" s="7">
        <v>44759.0</v>
      </c>
      <c r="O383" s="3">
        <v>0.0</v>
      </c>
      <c r="P383" s="9"/>
      <c r="Q383" s="9" t="s">
        <v>1231</v>
      </c>
      <c r="R383" s="9" t="s">
        <v>649</v>
      </c>
      <c r="S383" s="16" t="s">
        <v>1232</v>
      </c>
    </row>
    <row r="384">
      <c r="A384" s="3" t="s">
        <v>226</v>
      </c>
      <c r="C384" s="3" t="s">
        <v>52</v>
      </c>
      <c r="D384" s="3" t="s">
        <v>1233</v>
      </c>
      <c r="F384" s="3" t="s">
        <v>54</v>
      </c>
      <c r="G384" s="3" t="s">
        <v>52</v>
      </c>
      <c r="M384" s="3" t="s">
        <v>99</v>
      </c>
      <c r="N384" s="9" t="s">
        <v>1234</v>
      </c>
      <c r="O384" s="3">
        <v>0.0</v>
      </c>
      <c r="P384" s="9"/>
      <c r="Q384" s="9" t="s">
        <v>1235</v>
      </c>
      <c r="R384" s="9" t="s">
        <v>1236</v>
      </c>
      <c r="S384" s="3" t="s">
        <v>1237</v>
      </c>
    </row>
    <row r="385">
      <c r="A385" s="3" t="s">
        <v>1220</v>
      </c>
      <c r="B385" s="3">
        <v>2021.0</v>
      </c>
      <c r="C385" s="3" t="s">
        <v>1082</v>
      </c>
      <c r="F385" s="3" t="s">
        <v>29</v>
      </c>
      <c r="G385" s="3" t="s">
        <v>44</v>
      </c>
      <c r="H385" s="3" t="s">
        <v>1083</v>
      </c>
      <c r="I385" s="3">
        <v>2026.0</v>
      </c>
      <c r="J385" s="3">
        <v>2051.0</v>
      </c>
      <c r="K385" s="6">
        <v>45049.0</v>
      </c>
      <c r="L385" s="3">
        <v>49.0</v>
      </c>
      <c r="M385" s="3" t="s">
        <v>118</v>
      </c>
      <c r="N385" s="10">
        <v>45259.0</v>
      </c>
      <c r="O385" s="3">
        <v>2.0</v>
      </c>
      <c r="P385">
        <f t="shared" ref="P385:P394" si="50">O385*L385</f>
        <v>98</v>
      </c>
    </row>
    <row r="386">
      <c r="A386" s="3" t="s">
        <v>1238</v>
      </c>
      <c r="B386" s="3">
        <v>2022.0</v>
      </c>
      <c r="C386" s="3" t="s">
        <v>1082</v>
      </c>
      <c r="D386" s="3" t="s">
        <v>1239</v>
      </c>
      <c r="F386" s="3" t="s">
        <v>29</v>
      </c>
      <c r="G386" s="3" t="s">
        <v>44</v>
      </c>
      <c r="H386" s="3" t="s">
        <v>1083</v>
      </c>
      <c r="I386" s="3">
        <v>2027.0</v>
      </c>
      <c r="J386" s="3">
        <v>2052.0</v>
      </c>
      <c r="K386" s="6">
        <v>45782.0</v>
      </c>
      <c r="L386" s="3">
        <v>37.0</v>
      </c>
      <c r="M386" s="3" t="s">
        <v>118</v>
      </c>
      <c r="N386" s="10">
        <v>45623.0</v>
      </c>
      <c r="O386" s="3">
        <v>2.0</v>
      </c>
      <c r="P386">
        <f t="shared" si="50"/>
        <v>74</v>
      </c>
    </row>
    <row r="387">
      <c r="A387" s="3" t="s">
        <v>1240</v>
      </c>
      <c r="B387" s="3">
        <v>2021.0</v>
      </c>
      <c r="C387" s="3" t="s">
        <v>174</v>
      </c>
      <c r="D387" s="3" t="s">
        <v>1241</v>
      </c>
      <c r="F387" s="3" t="s">
        <v>29</v>
      </c>
      <c r="G387" s="3" t="s">
        <v>176</v>
      </c>
      <c r="H387" s="3" t="s">
        <v>1192</v>
      </c>
      <c r="K387" s="6">
        <v>45416.0</v>
      </c>
      <c r="M387" s="3" t="s">
        <v>1242</v>
      </c>
      <c r="N387" s="10">
        <v>45285.0</v>
      </c>
      <c r="O387" s="3">
        <v>2.0</v>
      </c>
      <c r="P387">
        <f t="shared" si="50"/>
        <v>0</v>
      </c>
    </row>
    <row r="388">
      <c r="A388" s="3" t="s">
        <v>173</v>
      </c>
      <c r="B388" s="3">
        <v>2016.0</v>
      </c>
      <c r="C388" s="3" t="s">
        <v>174</v>
      </c>
      <c r="D388" s="3" t="s">
        <v>1243</v>
      </c>
      <c r="F388" s="3" t="s">
        <v>29</v>
      </c>
      <c r="G388" s="3" t="s">
        <v>176</v>
      </c>
      <c r="H388" s="3" t="s">
        <v>1192</v>
      </c>
      <c r="K388" s="6">
        <v>43589.0</v>
      </c>
      <c r="L388" s="3">
        <v>10.95</v>
      </c>
      <c r="M388" s="3" t="s">
        <v>178</v>
      </c>
      <c r="N388" s="7">
        <v>43595.0</v>
      </c>
      <c r="O388" s="3">
        <v>1.0</v>
      </c>
      <c r="P388">
        <f t="shared" si="50"/>
        <v>10.95</v>
      </c>
      <c r="Q388" s="13"/>
      <c r="R388" s="13"/>
    </row>
    <row r="389">
      <c r="A389" s="3" t="s">
        <v>1244</v>
      </c>
      <c r="B389" s="3">
        <v>2017.0</v>
      </c>
      <c r="C389" s="3" t="s">
        <v>1245</v>
      </c>
      <c r="D389" s="3" t="s">
        <v>1246</v>
      </c>
      <c r="F389" s="3" t="s">
        <v>29</v>
      </c>
      <c r="G389" s="3" t="s">
        <v>84</v>
      </c>
      <c r="L389" s="3">
        <v>15.9</v>
      </c>
      <c r="M389" s="3" t="s">
        <v>1247</v>
      </c>
      <c r="N389" s="7">
        <v>45402.0</v>
      </c>
      <c r="O389" s="3">
        <v>1.0</v>
      </c>
      <c r="P389">
        <f t="shared" si="50"/>
        <v>15.9</v>
      </c>
    </row>
    <row r="390">
      <c r="A390" s="3" t="s">
        <v>381</v>
      </c>
      <c r="C390" s="3" t="s">
        <v>1248</v>
      </c>
      <c r="D390" s="3" t="s">
        <v>1249</v>
      </c>
      <c r="F390" s="3" t="s">
        <v>54</v>
      </c>
      <c r="G390" s="3" t="s">
        <v>23</v>
      </c>
      <c r="H390" s="3" t="s">
        <v>1250</v>
      </c>
      <c r="L390" s="3">
        <v>11.2</v>
      </c>
      <c r="M390" s="3" t="s">
        <v>55</v>
      </c>
      <c r="N390" s="7">
        <v>45557.0</v>
      </c>
      <c r="O390" s="3">
        <v>1.0</v>
      </c>
      <c r="P390">
        <f t="shared" si="50"/>
        <v>11.2</v>
      </c>
      <c r="Q390" s="7">
        <v>45709.0</v>
      </c>
      <c r="R390" s="3">
        <v>2.5</v>
      </c>
      <c r="S390" s="3" t="s">
        <v>1251</v>
      </c>
    </row>
    <row r="391">
      <c r="A391" s="3" t="s">
        <v>81</v>
      </c>
      <c r="C391" s="3" t="s">
        <v>82</v>
      </c>
      <c r="D391" s="3" t="s">
        <v>1252</v>
      </c>
      <c r="F391" s="3" t="s">
        <v>1253</v>
      </c>
      <c r="G391" s="3" t="s">
        <v>84</v>
      </c>
      <c r="L391" s="3">
        <v>24.0</v>
      </c>
      <c r="N391" s="9" t="s">
        <v>209</v>
      </c>
      <c r="O391" s="3">
        <v>1.0</v>
      </c>
      <c r="P391">
        <f t="shared" si="50"/>
        <v>24</v>
      </c>
      <c r="Q391" s="8">
        <v>43824.0</v>
      </c>
      <c r="R391" s="9">
        <v>4.5</v>
      </c>
      <c r="S391" s="3" t="s">
        <v>1254</v>
      </c>
    </row>
    <row r="392">
      <c r="A392" s="3" t="s">
        <v>1222</v>
      </c>
      <c r="C392" s="3" t="s">
        <v>52</v>
      </c>
      <c r="D392" s="3" t="s">
        <v>1223</v>
      </c>
      <c r="F392" s="3" t="s">
        <v>54</v>
      </c>
      <c r="G392" s="3" t="s">
        <v>52</v>
      </c>
      <c r="H392" s="3" t="s">
        <v>1224</v>
      </c>
      <c r="L392" s="3">
        <v>21.5</v>
      </c>
      <c r="M392" s="3" t="s">
        <v>55</v>
      </c>
      <c r="N392" s="7">
        <v>45794.0</v>
      </c>
      <c r="O392" s="3">
        <v>4.0</v>
      </c>
      <c r="P392">
        <f t="shared" si="50"/>
        <v>86</v>
      </c>
      <c r="Q392" s="12">
        <v>45871.0</v>
      </c>
      <c r="R392" s="9">
        <v>4.5</v>
      </c>
      <c r="S392" s="16" t="s">
        <v>1255</v>
      </c>
    </row>
    <row r="393">
      <c r="A393" s="3" t="s">
        <v>226</v>
      </c>
      <c r="C393" s="3" t="s">
        <v>52</v>
      </c>
      <c r="D393" s="3" t="s">
        <v>1256</v>
      </c>
      <c r="E393" s="3" t="s">
        <v>36</v>
      </c>
      <c r="F393" s="3" t="s">
        <v>54</v>
      </c>
      <c r="G393" s="3" t="s">
        <v>52</v>
      </c>
      <c r="M393" s="3" t="s">
        <v>99</v>
      </c>
      <c r="N393" s="7">
        <v>43519.0</v>
      </c>
      <c r="O393" s="3">
        <v>1.0</v>
      </c>
      <c r="P393">
        <f t="shared" si="50"/>
        <v>0</v>
      </c>
      <c r="Q393" s="12">
        <v>45368.0</v>
      </c>
      <c r="R393" s="9">
        <v>4.5</v>
      </c>
      <c r="S393" s="16" t="s">
        <v>1257</v>
      </c>
    </row>
    <row r="394">
      <c r="A394" s="3" t="s">
        <v>226</v>
      </c>
      <c r="C394" s="3" t="s">
        <v>52</v>
      </c>
      <c r="D394" s="3" t="s">
        <v>1258</v>
      </c>
      <c r="E394" s="3" t="s">
        <v>727</v>
      </c>
      <c r="F394" s="3" t="s">
        <v>54</v>
      </c>
      <c r="G394" s="3" t="s">
        <v>52</v>
      </c>
      <c r="M394" s="3" t="s">
        <v>99</v>
      </c>
      <c r="N394" s="7">
        <v>44759.0</v>
      </c>
      <c r="O394" s="3">
        <v>1.0</v>
      </c>
      <c r="P394">
        <f t="shared" si="50"/>
        <v>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1.75"/>
    <col customWidth="1" min="2" max="2" width="48.25"/>
    <col customWidth="1" min="3" max="3" width="52.13"/>
    <col customWidth="1" min="4" max="4" width="58.5"/>
    <col customWidth="1" min="6" max="7" width="55.88"/>
    <col customWidth="1" min="8" max="8" width="56.0"/>
    <col customWidth="1" min="9" max="9" width="47.13"/>
    <col customWidth="1" min="11" max="11" width="58.25"/>
    <col customWidth="1" min="12" max="12" width="55.13"/>
    <col customWidth="1" min="13" max="13" width="51.5"/>
    <col customWidth="1" min="14" max="14" width="58.25"/>
    <col customWidth="1" min="15" max="15" width="12.63"/>
  </cols>
  <sheetData>
    <row r="1">
      <c r="A1" s="20" t="s">
        <v>1259</v>
      </c>
      <c r="E1" s="21"/>
      <c r="F1" s="20" t="s">
        <v>1260</v>
      </c>
      <c r="J1" s="21"/>
      <c r="K1" s="20" t="s">
        <v>1261</v>
      </c>
    </row>
    <row r="2">
      <c r="A2" s="22" t="s">
        <v>1262</v>
      </c>
      <c r="B2" s="22" t="s">
        <v>1263</v>
      </c>
      <c r="C2" s="23" t="s">
        <v>1264</v>
      </c>
      <c r="D2" s="23" t="s">
        <v>1265</v>
      </c>
      <c r="E2" s="24"/>
      <c r="F2" s="25" t="s">
        <v>1266</v>
      </c>
      <c r="G2" s="25" t="s">
        <v>1266</v>
      </c>
      <c r="H2" s="26" t="s">
        <v>1267</v>
      </c>
      <c r="I2" s="26" t="s">
        <v>1268</v>
      </c>
      <c r="J2" s="24"/>
      <c r="K2" s="27" t="s">
        <v>1269</v>
      </c>
      <c r="L2" s="28" t="s">
        <v>1270</v>
      </c>
      <c r="M2" s="28" t="s">
        <v>1270</v>
      </c>
      <c r="N2" s="28" t="s">
        <v>1271</v>
      </c>
    </row>
    <row r="3">
      <c r="A3" s="23" t="s">
        <v>1265</v>
      </c>
      <c r="B3" s="23" t="s">
        <v>1272</v>
      </c>
      <c r="C3" s="23" t="s">
        <v>1273</v>
      </c>
      <c r="D3" s="29"/>
      <c r="E3" s="24"/>
      <c r="F3" s="26" t="s">
        <v>1274</v>
      </c>
      <c r="G3" s="26" t="s">
        <v>1275</v>
      </c>
      <c r="H3" s="26" t="s">
        <v>1276</v>
      </c>
      <c r="I3" s="30"/>
      <c r="J3" s="24"/>
      <c r="K3" s="28" t="s">
        <v>1271</v>
      </c>
      <c r="L3" s="28" t="s">
        <v>1271</v>
      </c>
      <c r="M3" s="31" t="s">
        <v>1277</v>
      </c>
      <c r="N3" s="30"/>
    </row>
    <row r="4">
      <c r="A4" s="23" t="s">
        <v>1273</v>
      </c>
      <c r="B4" s="23" t="s">
        <v>1273</v>
      </c>
      <c r="C4" s="32" t="s">
        <v>1278</v>
      </c>
      <c r="D4" s="33" t="s">
        <v>1279</v>
      </c>
      <c r="E4" s="24"/>
      <c r="F4" s="26" t="s">
        <v>1280</v>
      </c>
      <c r="G4" s="26" t="s">
        <v>1280</v>
      </c>
      <c r="H4" s="26" t="s">
        <v>1281</v>
      </c>
      <c r="I4" s="26" t="s">
        <v>1282</v>
      </c>
      <c r="J4" s="24"/>
      <c r="K4" s="28" t="s">
        <v>1283</v>
      </c>
      <c r="L4" s="28" t="s">
        <v>1283</v>
      </c>
      <c r="M4" s="28" t="s">
        <v>1284</v>
      </c>
      <c r="N4" s="28" t="s">
        <v>1284</v>
      </c>
    </row>
    <row r="5">
      <c r="A5" s="33" t="s">
        <v>1285</v>
      </c>
      <c r="B5" s="33" t="s">
        <v>1286</v>
      </c>
      <c r="C5" s="33" t="s">
        <v>1286</v>
      </c>
      <c r="D5" s="30"/>
      <c r="E5" s="24"/>
      <c r="F5" s="26" t="s">
        <v>1287</v>
      </c>
      <c r="G5" s="26" t="s">
        <v>1288</v>
      </c>
      <c r="H5" s="26" t="s">
        <v>1289</v>
      </c>
      <c r="I5" s="30"/>
      <c r="J5" s="24"/>
      <c r="K5" s="28" t="s">
        <v>1284</v>
      </c>
      <c r="L5" s="28" t="s">
        <v>1284</v>
      </c>
      <c r="M5" s="28" t="s">
        <v>1284</v>
      </c>
      <c r="N5" s="30"/>
    </row>
    <row r="6">
      <c r="A6" s="25" t="s">
        <v>1290</v>
      </c>
      <c r="B6" s="25" t="s">
        <v>1290</v>
      </c>
      <c r="C6" s="26" t="s">
        <v>1291</v>
      </c>
      <c r="D6" s="26" t="s">
        <v>1292</v>
      </c>
      <c r="E6" s="24"/>
      <c r="F6" s="26" t="s">
        <v>1293</v>
      </c>
      <c r="G6" s="26" t="s">
        <v>1294</v>
      </c>
      <c r="H6" s="26" t="s">
        <v>1295</v>
      </c>
      <c r="I6" s="26" t="s">
        <v>1296</v>
      </c>
      <c r="J6" s="24"/>
      <c r="K6" s="28" t="s">
        <v>1297</v>
      </c>
      <c r="L6" s="28" t="s">
        <v>1297</v>
      </c>
      <c r="M6" s="28" t="s">
        <v>1298</v>
      </c>
      <c r="N6" s="28" t="s">
        <v>1299</v>
      </c>
    </row>
    <row r="7">
      <c r="A7" s="26" t="s">
        <v>1300</v>
      </c>
      <c r="B7" s="26" t="s">
        <v>1301</v>
      </c>
      <c r="C7" s="34" t="s">
        <v>1302</v>
      </c>
      <c r="D7" s="30"/>
      <c r="E7" s="24"/>
      <c r="F7" s="35" t="s">
        <v>1303</v>
      </c>
      <c r="G7" s="35" t="s">
        <v>1304</v>
      </c>
      <c r="H7" s="35" t="s">
        <v>1305</v>
      </c>
      <c r="I7" s="30"/>
      <c r="J7" s="24"/>
      <c r="K7" s="28" t="s">
        <v>1299</v>
      </c>
      <c r="L7" s="28" t="s">
        <v>1299</v>
      </c>
      <c r="M7" s="28" t="s">
        <v>1299</v>
      </c>
      <c r="N7" s="30"/>
    </row>
    <row r="8">
      <c r="A8" s="34" t="s">
        <v>1302</v>
      </c>
      <c r="B8" s="34" t="s">
        <v>1302</v>
      </c>
      <c r="C8" s="34" t="s">
        <v>1306</v>
      </c>
      <c r="D8" s="34" t="s">
        <v>1306</v>
      </c>
      <c r="E8" s="24"/>
      <c r="F8" s="35" t="s">
        <v>1305</v>
      </c>
      <c r="G8" s="35" t="s">
        <v>1307</v>
      </c>
      <c r="H8" s="36" t="s">
        <v>1308</v>
      </c>
      <c r="I8" s="36" t="s">
        <v>1309</v>
      </c>
      <c r="J8" s="24"/>
      <c r="K8" s="28" t="s">
        <v>1299</v>
      </c>
      <c r="L8" s="37" t="s">
        <v>1310</v>
      </c>
      <c r="M8" s="37" t="s">
        <v>1311</v>
      </c>
      <c r="N8" s="28" t="s">
        <v>1312</v>
      </c>
    </row>
    <row r="9">
      <c r="A9" s="38" t="s">
        <v>1313</v>
      </c>
      <c r="B9" s="39" t="s">
        <v>1314</v>
      </c>
      <c r="C9" s="40" t="s">
        <v>1315</v>
      </c>
      <c r="D9" s="24"/>
      <c r="E9" s="24"/>
      <c r="F9" s="36" t="s">
        <v>1316</v>
      </c>
      <c r="G9" s="36" t="s">
        <v>1317</v>
      </c>
      <c r="H9" s="36" t="s">
        <v>1317</v>
      </c>
      <c r="I9" s="30"/>
      <c r="J9" s="24"/>
      <c r="K9" s="37" t="s">
        <v>1318</v>
      </c>
      <c r="L9" s="37" t="s">
        <v>1318</v>
      </c>
      <c r="M9" s="28" t="s">
        <v>1319</v>
      </c>
      <c r="N9" s="30"/>
    </row>
    <row r="10">
      <c r="A10" s="40" t="s">
        <v>1320</v>
      </c>
      <c r="B10" s="40" t="s">
        <v>1321</v>
      </c>
      <c r="C10" s="40" t="s">
        <v>1322</v>
      </c>
      <c r="D10" s="40" t="s">
        <v>1322</v>
      </c>
      <c r="E10" s="24"/>
      <c r="F10" s="36" t="s">
        <v>1323</v>
      </c>
      <c r="G10" s="36" t="s">
        <v>1324</v>
      </c>
      <c r="H10" s="36" t="s">
        <v>1325</v>
      </c>
      <c r="I10" s="36" t="s">
        <v>1326</v>
      </c>
      <c r="J10" s="24"/>
      <c r="K10" s="28" t="s">
        <v>1327</v>
      </c>
      <c r="L10" s="28" t="s">
        <v>1328</v>
      </c>
      <c r="M10" s="28" t="s">
        <v>1329</v>
      </c>
      <c r="N10" s="28" t="s">
        <v>1330</v>
      </c>
    </row>
    <row r="11">
      <c r="A11" s="40" t="s">
        <v>1331</v>
      </c>
      <c r="B11" s="41" t="s">
        <v>1332</v>
      </c>
      <c r="C11" s="42" t="s">
        <v>1333</v>
      </c>
      <c r="D11" s="30"/>
      <c r="E11" s="24"/>
      <c r="F11" s="32" t="s">
        <v>1334</v>
      </c>
      <c r="G11" s="43" t="s">
        <v>1335</v>
      </c>
      <c r="H11" s="43" t="s">
        <v>1335</v>
      </c>
      <c r="I11" s="30"/>
      <c r="J11" s="24"/>
      <c r="K11" s="28" t="s">
        <v>1336</v>
      </c>
      <c r="L11" s="28" t="s">
        <v>1337</v>
      </c>
      <c r="M11" s="28" t="s">
        <v>1338</v>
      </c>
      <c r="N11" s="30"/>
    </row>
    <row r="12">
      <c r="A12" s="44" t="s">
        <v>1339</v>
      </c>
      <c r="B12" s="44" t="s">
        <v>1340</v>
      </c>
      <c r="C12" s="44" t="s">
        <v>1340</v>
      </c>
      <c r="D12" s="45" t="s">
        <v>1341</v>
      </c>
      <c r="E12" s="24"/>
      <c r="F12" s="43" t="s">
        <v>1342</v>
      </c>
      <c r="G12" s="43" t="s">
        <v>1343</v>
      </c>
      <c r="H12" s="43" t="s">
        <v>1344</v>
      </c>
      <c r="I12" s="46" t="s">
        <v>1345</v>
      </c>
      <c r="J12" s="24"/>
      <c r="K12" s="47" t="s">
        <v>1346</v>
      </c>
      <c r="L12" s="47" t="s">
        <v>1347</v>
      </c>
      <c r="M12" s="47" t="s">
        <v>1348</v>
      </c>
      <c r="N12" s="47" t="s">
        <v>1349</v>
      </c>
    </row>
    <row r="13">
      <c r="A13" s="45" t="s">
        <v>1350</v>
      </c>
      <c r="B13" s="45" t="s">
        <v>1351</v>
      </c>
      <c r="C13" s="45" t="s">
        <v>1352</v>
      </c>
      <c r="D13" s="48" t="s">
        <v>1353</v>
      </c>
      <c r="E13" s="24"/>
      <c r="F13" s="46" t="s">
        <v>1354</v>
      </c>
      <c r="G13" s="46" t="s">
        <v>1355</v>
      </c>
      <c r="H13" s="46" t="s">
        <v>1356</v>
      </c>
      <c r="I13" s="46" t="s">
        <v>1356</v>
      </c>
      <c r="J13" s="24"/>
      <c r="K13" s="49" t="s">
        <v>1357</v>
      </c>
      <c r="L13" s="49" t="s">
        <v>1357</v>
      </c>
      <c r="M13" s="49" t="s">
        <v>1358</v>
      </c>
      <c r="N13" s="50" t="s">
        <v>1359</v>
      </c>
    </row>
    <row r="14">
      <c r="A14" s="48" t="s">
        <v>1353</v>
      </c>
      <c r="B14" s="51" t="s">
        <v>1360</v>
      </c>
      <c r="C14" s="51" t="s">
        <v>1360</v>
      </c>
      <c r="D14" s="30"/>
      <c r="E14" s="24"/>
      <c r="F14" s="46" t="s">
        <v>1361</v>
      </c>
      <c r="G14" s="52" t="s">
        <v>1362</v>
      </c>
      <c r="H14" s="52" t="s">
        <v>1363</v>
      </c>
      <c r="I14" s="24"/>
      <c r="J14" s="24"/>
      <c r="K14" s="50" t="s">
        <v>1359</v>
      </c>
      <c r="L14" s="50" t="s">
        <v>1364</v>
      </c>
      <c r="M14" s="50" t="s">
        <v>1364</v>
      </c>
      <c r="N14" s="30"/>
    </row>
    <row r="15">
      <c r="A15" s="51" t="s">
        <v>1360</v>
      </c>
      <c r="B15" s="51" t="s">
        <v>1365</v>
      </c>
      <c r="C15" s="53" t="s">
        <v>1366</v>
      </c>
      <c r="D15" s="53" t="s">
        <v>1366</v>
      </c>
      <c r="E15" s="24"/>
      <c r="F15" s="52" t="s">
        <v>1367</v>
      </c>
      <c r="G15" s="52" t="s">
        <v>1368</v>
      </c>
      <c r="H15" s="52" t="s">
        <v>1368</v>
      </c>
      <c r="I15" s="52" t="s">
        <v>1369</v>
      </c>
      <c r="J15" s="24"/>
      <c r="K15" s="50" t="s">
        <v>1370</v>
      </c>
      <c r="L15" s="50" t="s">
        <v>1370</v>
      </c>
      <c r="M15" s="49" t="s">
        <v>1371</v>
      </c>
      <c r="N15" s="50" t="s">
        <v>1372</v>
      </c>
    </row>
    <row r="16">
      <c r="D16" s="24"/>
      <c r="E16" s="24"/>
      <c r="F16" s="52" t="s">
        <v>1369</v>
      </c>
      <c r="G16" s="54" t="s">
        <v>1373</v>
      </c>
      <c r="H16" s="54" t="s">
        <v>1374</v>
      </c>
      <c r="I16" s="30"/>
      <c r="J16" s="24"/>
      <c r="K16" s="50" t="s">
        <v>1372</v>
      </c>
      <c r="L16" s="50" t="s">
        <v>1372</v>
      </c>
      <c r="M16" s="50" t="s">
        <v>1372</v>
      </c>
      <c r="N16" s="30"/>
    </row>
    <row r="17">
      <c r="A17" s="53" t="s">
        <v>1366</v>
      </c>
      <c r="B17" s="3"/>
      <c r="E17" s="24"/>
      <c r="F17" s="54" t="s">
        <v>1375</v>
      </c>
      <c r="G17" s="38" t="s">
        <v>1376</v>
      </c>
      <c r="H17" s="38" t="s">
        <v>1377</v>
      </c>
      <c r="I17" s="38" t="s">
        <v>1378</v>
      </c>
      <c r="J17" s="24"/>
      <c r="K17" s="50" t="s">
        <v>1372</v>
      </c>
      <c r="L17" s="50" t="s">
        <v>1372</v>
      </c>
      <c r="M17" s="50" t="s">
        <v>1372</v>
      </c>
      <c r="N17" s="49" t="s">
        <v>1379</v>
      </c>
    </row>
    <row r="18">
      <c r="D18" s="30"/>
      <c r="E18" s="24"/>
      <c r="F18" s="38" t="s">
        <v>1380</v>
      </c>
      <c r="G18" s="55" t="s">
        <v>1381</v>
      </c>
      <c r="H18" s="56" t="s">
        <v>1382</v>
      </c>
      <c r="I18" s="24"/>
      <c r="J18" s="24"/>
      <c r="K18" s="49" t="s">
        <v>1379</v>
      </c>
      <c r="L18" s="50" t="s">
        <v>1383</v>
      </c>
      <c r="M18" s="49" t="s">
        <v>1384</v>
      </c>
      <c r="N18" s="30"/>
    </row>
    <row r="19">
      <c r="E19" s="24"/>
      <c r="F19" s="56" t="s">
        <v>1385</v>
      </c>
      <c r="G19" s="56" t="s">
        <v>1385</v>
      </c>
      <c r="H19" s="56" t="s">
        <v>1386</v>
      </c>
      <c r="I19" s="56" t="s">
        <v>1386</v>
      </c>
      <c r="J19" s="24"/>
      <c r="K19" s="49" t="s">
        <v>1384</v>
      </c>
      <c r="L19" s="49" t="s">
        <v>1387</v>
      </c>
      <c r="M19" s="49" t="s">
        <v>1388</v>
      </c>
      <c r="N19" s="50" t="s">
        <v>1389</v>
      </c>
    </row>
    <row r="20">
      <c r="D20" s="30"/>
      <c r="E20" s="24"/>
      <c r="F20" s="57" t="s">
        <v>1390</v>
      </c>
      <c r="G20" s="57" t="s">
        <v>1391</v>
      </c>
      <c r="H20" s="57" t="s">
        <v>1392</v>
      </c>
      <c r="I20" s="30"/>
      <c r="J20" s="24"/>
      <c r="K20" s="50" t="s">
        <v>1389</v>
      </c>
      <c r="L20" s="33" t="s">
        <v>1393</v>
      </c>
      <c r="M20" s="25" t="s">
        <v>1394</v>
      </c>
      <c r="N20" s="30"/>
    </row>
    <row r="21">
      <c r="D21" s="30"/>
      <c r="E21" s="24"/>
      <c r="F21" s="57"/>
      <c r="G21" s="57"/>
      <c r="H21" s="57"/>
      <c r="I21" s="30"/>
      <c r="J21" s="24"/>
      <c r="K21" s="50"/>
      <c r="L21" s="33"/>
      <c r="M21" s="25"/>
      <c r="N21" s="30"/>
    </row>
    <row r="22">
      <c r="A22" s="40" t="s">
        <v>1395</v>
      </c>
      <c r="B22" s="58" t="s">
        <v>1396</v>
      </c>
      <c r="C22" s="58" t="s">
        <v>1396</v>
      </c>
      <c r="D22" s="58" t="s">
        <v>1396</v>
      </c>
      <c r="E22" s="24"/>
      <c r="F22" s="57" t="s">
        <v>1397</v>
      </c>
      <c r="G22" s="57" t="s">
        <v>1398</v>
      </c>
      <c r="H22" s="22" t="s">
        <v>1399</v>
      </c>
      <c r="I22" s="59" t="s">
        <v>1400</v>
      </c>
      <c r="J22" s="24"/>
      <c r="K22" s="25" t="s">
        <v>1394</v>
      </c>
      <c r="L22" s="25" t="s">
        <v>1401</v>
      </c>
      <c r="M22" s="25" t="s">
        <v>1402</v>
      </c>
      <c r="N22" s="25" t="s">
        <v>1403</v>
      </c>
    </row>
    <row r="23">
      <c r="D23" s="24"/>
      <c r="E23" s="24"/>
      <c r="F23" s="22" t="s">
        <v>1404</v>
      </c>
      <c r="G23" s="60" t="s">
        <v>1405</v>
      </c>
      <c r="H23" s="22" t="s">
        <v>1406</v>
      </c>
      <c r="I23" s="30"/>
      <c r="J23" s="24"/>
      <c r="K23" s="25" t="s">
        <v>1403</v>
      </c>
      <c r="L23" s="25" t="s">
        <v>1403</v>
      </c>
      <c r="M23" s="25" t="s">
        <v>1407</v>
      </c>
      <c r="N23" s="30"/>
    </row>
    <row r="24">
      <c r="A24" s="58" t="s">
        <v>1396</v>
      </c>
      <c r="B24" s="58" t="s">
        <v>1408</v>
      </c>
      <c r="C24" s="58" t="s">
        <v>1409</v>
      </c>
      <c r="D24" s="61" t="s">
        <v>1410</v>
      </c>
      <c r="E24" s="24"/>
      <c r="F24" s="22" t="s">
        <v>1406</v>
      </c>
      <c r="G24" s="22" t="s">
        <v>1406</v>
      </c>
      <c r="H24" s="22" t="s">
        <v>1406</v>
      </c>
      <c r="I24" s="22" t="s">
        <v>1411</v>
      </c>
      <c r="J24" s="24"/>
      <c r="K24" s="25" t="s">
        <v>1412</v>
      </c>
      <c r="L24" s="25" t="s">
        <v>1413</v>
      </c>
      <c r="M24" s="25" t="s">
        <v>1414</v>
      </c>
      <c r="N24" s="25" t="s">
        <v>1415</v>
      </c>
    </row>
    <row r="25">
      <c r="A25" s="24"/>
      <c r="B25" s="24"/>
      <c r="C25" s="24"/>
      <c r="D25" s="24"/>
      <c r="E25" s="24"/>
      <c r="F25" s="24"/>
      <c r="G25" s="24"/>
      <c r="H25" s="24"/>
      <c r="I25" s="24"/>
      <c r="J25" s="24"/>
      <c r="K25" s="24"/>
      <c r="L25" s="24"/>
      <c r="M25" s="24"/>
      <c r="N25" s="24"/>
    </row>
    <row r="26">
      <c r="E26" s="62"/>
      <c r="J26" s="62"/>
    </row>
    <row r="29">
      <c r="J29" s="62"/>
      <c r="K29" s="58" t="s">
        <v>1416</v>
      </c>
      <c r="L29" s="63" t="s">
        <v>1417</v>
      </c>
    </row>
    <row r="30">
      <c r="A30" s="20" t="s">
        <v>1418</v>
      </c>
    </row>
    <row r="31">
      <c r="A31" s="28" t="s">
        <v>1419</v>
      </c>
      <c r="B31" s="28" t="s">
        <v>1419</v>
      </c>
      <c r="C31" s="28" t="s">
        <v>1419</v>
      </c>
      <c r="K31" s="36" t="s">
        <v>1420</v>
      </c>
      <c r="L31" s="36" t="s">
        <v>1420</v>
      </c>
      <c r="M31" s="36" t="s">
        <v>1420</v>
      </c>
    </row>
    <row r="32">
      <c r="A32" s="28" t="s">
        <v>1419</v>
      </c>
      <c r="B32" s="28" t="s">
        <v>1419</v>
      </c>
      <c r="C32" s="28" t="s">
        <v>1419</v>
      </c>
      <c r="K32" s="36" t="s">
        <v>1420</v>
      </c>
      <c r="L32" s="36" t="s">
        <v>1420</v>
      </c>
      <c r="M32" s="36" t="s">
        <v>1420</v>
      </c>
    </row>
    <row r="33">
      <c r="A33" s="28" t="s">
        <v>1421</v>
      </c>
      <c r="B33" s="28" t="s">
        <v>1421</v>
      </c>
      <c r="C33" s="28" t="s">
        <v>1421</v>
      </c>
      <c r="K33" s="64"/>
    </row>
    <row r="34">
      <c r="A34" s="28" t="s">
        <v>1421</v>
      </c>
      <c r="B34" s="28" t="s">
        <v>1421</v>
      </c>
      <c r="C34" s="28" t="s">
        <v>1421</v>
      </c>
      <c r="K34" s="28" t="s">
        <v>1422</v>
      </c>
      <c r="L34" s="28" t="s">
        <v>1422</v>
      </c>
      <c r="M34" s="28" t="s">
        <v>1422</v>
      </c>
    </row>
    <row r="35">
      <c r="A35" s="47" t="s">
        <v>1423</v>
      </c>
      <c r="B35" s="47" t="s">
        <v>1423</v>
      </c>
      <c r="C35" s="47" t="s">
        <v>1423</v>
      </c>
      <c r="G35" s="3"/>
      <c r="K35" s="28" t="s">
        <v>1422</v>
      </c>
      <c r="L35" s="28" t="s">
        <v>1422</v>
      </c>
      <c r="M35" s="28" t="s">
        <v>1422</v>
      </c>
    </row>
    <row r="36">
      <c r="A36" s="47" t="s">
        <v>1423</v>
      </c>
      <c r="B36" s="47" t="s">
        <v>1423</v>
      </c>
      <c r="C36" s="47" t="s">
        <v>1423</v>
      </c>
    </row>
    <row r="37">
      <c r="A37" s="49" t="s">
        <v>1424</v>
      </c>
      <c r="B37" s="49" t="s">
        <v>1424</v>
      </c>
      <c r="C37" s="49" t="s">
        <v>1424</v>
      </c>
    </row>
    <row r="38">
      <c r="A38" s="49" t="s">
        <v>1424</v>
      </c>
      <c r="B38" s="49" t="s">
        <v>1424</v>
      </c>
      <c r="C38" s="49" t="s">
        <v>1424</v>
      </c>
    </row>
    <row r="39">
      <c r="G39" s="3"/>
    </row>
    <row r="42">
      <c r="A42" s="27" t="s">
        <v>1425</v>
      </c>
      <c r="B42" s="65" t="s">
        <v>1426</v>
      </c>
      <c r="C42" s="66" t="s">
        <v>1427</v>
      </c>
      <c r="D42" s="67" t="s">
        <v>1428</v>
      </c>
    </row>
    <row r="43">
      <c r="A43" s="28" t="s">
        <v>894</v>
      </c>
      <c r="B43" s="33" t="s">
        <v>1429</v>
      </c>
      <c r="C43" s="32" t="s">
        <v>1430</v>
      </c>
      <c r="D43" s="54" t="s">
        <v>1431</v>
      </c>
    </row>
    <row r="44">
      <c r="A44" s="47" t="s">
        <v>947</v>
      </c>
      <c r="B44" s="25" t="s">
        <v>1432</v>
      </c>
      <c r="C44" s="46" t="s">
        <v>1433</v>
      </c>
      <c r="D44" s="68" t="s">
        <v>1434</v>
      </c>
    </row>
    <row r="45">
      <c r="A45" s="39" t="s">
        <v>1435</v>
      </c>
      <c r="B45" s="26" t="s">
        <v>1436</v>
      </c>
      <c r="C45" s="69" t="s">
        <v>1437</v>
      </c>
      <c r="D45" s="70" t="s">
        <v>1438</v>
      </c>
    </row>
    <row r="46">
      <c r="A46" s="49" t="s">
        <v>1439</v>
      </c>
      <c r="B46" s="35" t="s">
        <v>1440</v>
      </c>
    </row>
    <row r="47">
      <c r="A47" s="71" t="s">
        <v>1441</v>
      </c>
      <c r="B47" s="34" t="s">
        <v>1442</v>
      </c>
      <c r="H47" s="3"/>
    </row>
    <row r="48">
      <c r="B48" s="36" t="s">
        <v>330</v>
      </c>
    </row>
    <row r="49">
      <c r="M49" s="72"/>
    </row>
    <row r="50">
      <c r="A50" s="73" t="s">
        <v>1443</v>
      </c>
      <c r="B50" s="57" t="s">
        <v>1444</v>
      </c>
      <c r="C50" s="56" t="s">
        <v>1445</v>
      </c>
      <c r="D50" s="40" t="s">
        <v>1446</v>
      </c>
    </row>
    <row r="51">
      <c r="A51" s="38" t="s">
        <v>1447</v>
      </c>
      <c r="B51" s="22" t="s">
        <v>1448</v>
      </c>
      <c r="I51" s="3"/>
    </row>
    <row r="52">
      <c r="A52" s="55" t="s">
        <v>1449</v>
      </c>
      <c r="B52" s="23" t="s">
        <v>1450</v>
      </c>
    </row>
    <row r="53">
      <c r="A53" s="74" t="s">
        <v>1451</v>
      </c>
      <c r="B53" s="63" t="s">
        <v>1452</v>
      </c>
    </row>
    <row r="54">
      <c r="A54" s="75" t="s">
        <v>1453</v>
      </c>
    </row>
    <row r="56">
      <c r="A56" s="76" t="s">
        <v>1454</v>
      </c>
      <c r="B56" s="58" t="s">
        <v>1455</v>
      </c>
      <c r="C56" s="77" t="s">
        <v>1456</v>
      </c>
      <c r="D56" s="78" t="s">
        <v>1457</v>
      </c>
    </row>
    <row r="57">
      <c r="C57" s="79" t="s">
        <v>1458</v>
      </c>
      <c r="D57" s="53" t="s">
        <v>1459</v>
      </c>
    </row>
    <row r="58">
      <c r="D58" s="51" t="s">
        <v>434</v>
      </c>
      <c r="F58" s="62"/>
    </row>
    <row r="59">
      <c r="C59" s="80" t="s">
        <v>1460</v>
      </c>
      <c r="D59" s="42" t="s">
        <v>32</v>
      </c>
    </row>
    <row r="60">
      <c r="C60" s="81" t="s">
        <v>752</v>
      </c>
      <c r="D60" s="45" t="s">
        <v>1461</v>
      </c>
    </row>
    <row r="61">
      <c r="D61" s="44" t="s">
        <v>1462</v>
      </c>
      <c r="E61" s="62"/>
    </row>
    <row r="62">
      <c r="D62" s="82" t="s">
        <v>1463</v>
      </c>
      <c r="E62" s="62"/>
    </row>
    <row r="63">
      <c r="D63" s="83" t="s">
        <v>1464</v>
      </c>
      <c r="E63" s="62"/>
    </row>
    <row r="64">
      <c r="D64" s="48" t="s">
        <v>1465</v>
      </c>
      <c r="E64" s="62"/>
    </row>
    <row r="65">
      <c r="E65" s="62"/>
    </row>
    <row r="66">
      <c r="E66" s="62"/>
    </row>
    <row r="67">
      <c r="E67" s="62"/>
    </row>
    <row r="68">
      <c r="E68" s="62"/>
    </row>
    <row r="69">
      <c r="E69" s="62"/>
    </row>
    <row r="70">
      <c r="E70" s="62"/>
    </row>
    <row r="71">
      <c r="E71" s="62"/>
    </row>
    <row r="73">
      <c r="J73" s="62"/>
    </row>
    <row r="74">
      <c r="E74" s="62"/>
      <c r="F74" s="3"/>
      <c r="J74" s="62"/>
    </row>
    <row r="75">
      <c r="E75" s="62"/>
      <c r="F75" s="3"/>
      <c r="G75" s="18"/>
      <c r="J75" s="62"/>
    </row>
    <row r="76">
      <c r="E76" s="62"/>
      <c r="F76" s="3"/>
      <c r="J76" s="62"/>
    </row>
    <row r="77">
      <c r="E77" s="62"/>
      <c r="J77" s="62"/>
    </row>
    <row r="78">
      <c r="E78" s="62"/>
      <c r="J78" s="62"/>
    </row>
    <row r="79">
      <c r="E79" s="62"/>
      <c r="J79" s="62"/>
    </row>
    <row r="80">
      <c r="E80" s="62"/>
      <c r="J80" s="62"/>
    </row>
    <row r="81">
      <c r="J81" s="62"/>
    </row>
    <row r="82">
      <c r="J82" s="62"/>
    </row>
    <row r="83">
      <c r="J83" s="62"/>
    </row>
    <row r="84">
      <c r="J84" s="62"/>
    </row>
    <row r="85">
      <c r="J85" s="62"/>
    </row>
    <row r="86">
      <c r="J86" s="62"/>
    </row>
    <row r="87">
      <c r="J87" s="62"/>
    </row>
    <row r="88">
      <c r="J88" s="62"/>
    </row>
    <row r="89">
      <c r="J89" s="62"/>
    </row>
    <row r="90">
      <c r="J90" s="62"/>
    </row>
    <row r="91">
      <c r="J91" s="62"/>
    </row>
    <row r="92">
      <c r="J92" s="62"/>
    </row>
    <row r="93">
      <c r="J93" s="62"/>
    </row>
    <row r="94">
      <c r="J94" s="62"/>
    </row>
    <row r="95">
      <c r="J95" s="62"/>
    </row>
    <row r="96">
      <c r="J96" s="62"/>
    </row>
    <row r="97">
      <c r="J97" s="62"/>
    </row>
    <row r="98">
      <c r="J98" s="62"/>
    </row>
    <row r="99">
      <c r="J99" s="62"/>
    </row>
    <row r="100">
      <c r="J100" s="62"/>
    </row>
    <row r="101">
      <c r="J101" s="62"/>
    </row>
    <row r="102">
      <c r="J102" s="62"/>
    </row>
    <row r="103">
      <c r="J103" s="62"/>
    </row>
    <row r="104">
      <c r="J104" s="62"/>
    </row>
    <row r="105">
      <c r="J105" s="62"/>
    </row>
    <row r="106">
      <c r="J106" s="62"/>
    </row>
    <row r="107">
      <c r="J107" s="62"/>
    </row>
    <row r="108">
      <c r="J108" s="62"/>
    </row>
    <row r="109">
      <c r="J109" s="62"/>
    </row>
    <row r="110">
      <c r="E110" s="62"/>
      <c r="J110" s="62"/>
    </row>
    <row r="111">
      <c r="E111" s="62"/>
      <c r="J111" s="62"/>
    </row>
    <row r="112">
      <c r="E112" s="62"/>
      <c r="J112" s="62"/>
    </row>
    <row r="113">
      <c r="E113" s="62"/>
      <c r="J113" s="62"/>
    </row>
    <row r="114">
      <c r="E114" s="62"/>
      <c r="J114" s="62"/>
    </row>
    <row r="115">
      <c r="E115" s="62"/>
      <c r="J115" s="62"/>
    </row>
    <row r="116">
      <c r="E116" s="62"/>
      <c r="J116" s="62"/>
    </row>
    <row r="117">
      <c r="E117" s="62"/>
      <c r="J117" s="62"/>
    </row>
    <row r="118">
      <c r="E118" s="62"/>
      <c r="J118" s="62"/>
    </row>
    <row r="119">
      <c r="E119" s="62"/>
      <c r="J119" s="62"/>
    </row>
    <row r="120">
      <c r="E120" s="62"/>
      <c r="J120" s="62"/>
    </row>
    <row r="121">
      <c r="E121" s="62"/>
      <c r="J121" s="62"/>
    </row>
    <row r="122">
      <c r="E122" s="62"/>
      <c r="J122" s="62"/>
    </row>
    <row r="123">
      <c r="E123" s="62"/>
      <c r="J123" s="62"/>
    </row>
    <row r="124">
      <c r="E124" s="62"/>
      <c r="J124" s="62"/>
    </row>
    <row r="125">
      <c r="E125" s="62"/>
      <c r="J125" s="62"/>
    </row>
    <row r="126">
      <c r="E126" s="62"/>
      <c r="J126" s="62"/>
    </row>
    <row r="127">
      <c r="E127" s="62"/>
      <c r="J127" s="62"/>
    </row>
    <row r="128">
      <c r="E128" s="62"/>
      <c r="J128" s="62"/>
    </row>
    <row r="129">
      <c r="E129" s="62"/>
      <c r="J129" s="62"/>
    </row>
    <row r="130">
      <c r="E130" s="62"/>
      <c r="J130" s="62"/>
    </row>
    <row r="131">
      <c r="E131" s="62"/>
      <c r="J131" s="62"/>
    </row>
    <row r="132">
      <c r="E132" s="62"/>
      <c r="J132" s="62"/>
    </row>
    <row r="133">
      <c r="E133" s="62"/>
      <c r="J133" s="62"/>
    </row>
    <row r="134">
      <c r="E134" s="62"/>
      <c r="J134" s="62"/>
    </row>
    <row r="135">
      <c r="E135" s="62"/>
      <c r="J135" s="62"/>
    </row>
    <row r="136">
      <c r="E136" s="62"/>
      <c r="J136" s="62"/>
    </row>
    <row r="137">
      <c r="E137" s="62"/>
      <c r="J137" s="62"/>
    </row>
    <row r="138">
      <c r="E138" s="62"/>
      <c r="J138" s="62"/>
    </row>
    <row r="139">
      <c r="E139" s="62"/>
      <c r="J139" s="62"/>
    </row>
    <row r="140">
      <c r="E140" s="62"/>
      <c r="J140" s="62"/>
    </row>
    <row r="141">
      <c r="E141" s="62"/>
      <c r="J141" s="62"/>
    </row>
    <row r="142">
      <c r="E142" s="62"/>
      <c r="J142" s="62"/>
    </row>
    <row r="143">
      <c r="E143" s="62"/>
      <c r="J143" s="62"/>
    </row>
    <row r="144">
      <c r="E144" s="62"/>
      <c r="J144" s="62"/>
    </row>
    <row r="145">
      <c r="E145" s="62"/>
      <c r="J145" s="62"/>
    </row>
    <row r="146">
      <c r="E146" s="62"/>
      <c r="J146" s="62"/>
    </row>
    <row r="147">
      <c r="E147" s="62"/>
      <c r="J147" s="62"/>
    </row>
    <row r="148">
      <c r="E148" s="62"/>
      <c r="J148" s="62"/>
    </row>
    <row r="149">
      <c r="E149" s="62"/>
      <c r="J149" s="62"/>
    </row>
    <row r="150">
      <c r="E150" s="62"/>
      <c r="J150" s="62"/>
    </row>
    <row r="151">
      <c r="E151" s="62"/>
      <c r="J151" s="62"/>
    </row>
    <row r="152">
      <c r="E152" s="62"/>
      <c r="J152" s="62"/>
    </row>
    <row r="153">
      <c r="E153" s="62"/>
      <c r="J153" s="62"/>
    </row>
    <row r="154">
      <c r="E154" s="62"/>
      <c r="J154" s="62"/>
    </row>
    <row r="155">
      <c r="E155" s="62"/>
      <c r="J155" s="62"/>
    </row>
    <row r="156">
      <c r="E156" s="62"/>
      <c r="J156" s="62"/>
    </row>
    <row r="157">
      <c r="E157" s="62"/>
      <c r="J157" s="62"/>
    </row>
    <row r="158">
      <c r="E158" s="62"/>
      <c r="J158" s="62"/>
    </row>
    <row r="159">
      <c r="E159" s="62"/>
      <c r="J159" s="62"/>
    </row>
    <row r="160">
      <c r="E160" s="62"/>
      <c r="J160" s="62"/>
    </row>
    <row r="161">
      <c r="E161" s="62"/>
      <c r="J161" s="62"/>
    </row>
    <row r="162">
      <c r="E162" s="62"/>
      <c r="J162" s="62"/>
    </row>
    <row r="163">
      <c r="E163" s="62"/>
      <c r="J163" s="62"/>
    </row>
    <row r="164">
      <c r="E164" s="62"/>
      <c r="J164" s="62"/>
    </row>
    <row r="165">
      <c r="E165" s="62"/>
      <c r="J165" s="62"/>
    </row>
    <row r="166">
      <c r="E166" s="62"/>
      <c r="J166" s="62"/>
    </row>
    <row r="167">
      <c r="E167" s="62"/>
      <c r="J167" s="62"/>
    </row>
    <row r="168">
      <c r="E168" s="62"/>
      <c r="J168" s="62"/>
    </row>
    <row r="169">
      <c r="E169" s="62"/>
      <c r="J169" s="62"/>
    </row>
    <row r="170">
      <c r="E170" s="62"/>
      <c r="J170" s="62"/>
    </row>
    <row r="171">
      <c r="E171" s="62"/>
      <c r="J171" s="62"/>
    </row>
    <row r="172">
      <c r="E172" s="62"/>
      <c r="J172" s="62"/>
    </row>
    <row r="173">
      <c r="E173" s="62"/>
      <c r="J173" s="62"/>
    </row>
    <row r="174">
      <c r="E174" s="62"/>
      <c r="J174" s="62"/>
    </row>
    <row r="175">
      <c r="E175" s="62"/>
      <c r="J175" s="62"/>
    </row>
    <row r="176">
      <c r="E176" s="62"/>
      <c r="J176" s="62"/>
    </row>
    <row r="177">
      <c r="E177" s="62"/>
      <c r="J177" s="62"/>
    </row>
    <row r="178">
      <c r="E178" s="62"/>
      <c r="J178" s="62"/>
    </row>
    <row r="179">
      <c r="E179" s="62"/>
      <c r="J179" s="62"/>
    </row>
    <row r="180">
      <c r="E180" s="62"/>
      <c r="J180" s="62"/>
    </row>
    <row r="181">
      <c r="E181" s="62"/>
      <c r="J181" s="62"/>
    </row>
    <row r="182">
      <c r="E182" s="62"/>
      <c r="J182" s="62"/>
    </row>
    <row r="183">
      <c r="E183" s="62"/>
      <c r="J183" s="62"/>
    </row>
    <row r="184">
      <c r="E184" s="62"/>
      <c r="J184" s="62"/>
    </row>
    <row r="185">
      <c r="E185" s="62"/>
      <c r="J185" s="62"/>
    </row>
    <row r="186">
      <c r="E186" s="62"/>
      <c r="J186" s="62"/>
    </row>
    <row r="187">
      <c r="E187" s="62"/>
      <c r="J187" s="62"/>
    </row>
    <row r="188">
      <c r="E188" s="62"/>
      <c r="J188" s="62"/>
    </row>
    <row r="189">
      <c r="E189" s="62"/>
      <c r="J189" s="62"/>
    </row>
    <row r="190">
      <c r="E190" s="62"/>
      <c r="J190" s="62"/>
    </row>
    <row r="191">
      <c r="E191" s="62"/>
      <c r="J191" s="62"/>
    </row>
    <row r="192">
      <c r="E192" s="62"/>
      <c r="J192" s="62"/>
    </row>
    <row r="193">
      <c r="E193" s="62"/>
      <c r="J193" s="62"/>
    </row>
    <row r="194">
      <c r="E194" s="62"/>
      <c r="J194" s="62"/>
    </row>
    <row r="195">
      <c r="E195" s="62"/>
      <c r="J195" s="62"/>
    </row>
    <row r="196">
      <c r="E196" s="62"/>
      <c r="J196" s="62"/>
    </row>
    <row r="197">
      <c r="E197" s="62"/>
      <c r="J197" s="62"/>
    </row>
    <row r="198">
      <c r="E198" s="62"/>
      <c r="J198" s="62"/>
    </row>
    <row r="199">
      <c r="E199" s="62"/>
      <c r="J199" s="62"/>
    </row>
    <row r="200">
      <c r="E200" s="62"/>
      <c r="J200" s="62"/>
    </row>
    <row r="201">
      <c r="E201" s="62"/>
      <c r="J201" s="62"/>
    </row>
    <row r="202">
      <c r="E202" s="62"/>
      <c r="J202" s="62"/>
    </row>
    <row r="203">
      <c r="E203" s="62"/>
      <c r="J203" s="62"/>
    </row>
    <row r="204">
      <c r="E204" s="62"/>
      <c r="J204" s="62"/>
    </row>
    <row r="205">
      <c r="E205" s="62"/>
      <c r="J205" s="62"/>
    </row>
    <row r="206">
      <c r="E206" s="62"/>
      <c r="J206" s="62"/>
    </row>
    <row r="207">
      <c r="E207" s="62"/>
      <c r="J207" s="62"/>
    </row>
    <row r="208">
      <c r="E208" s="62"/>
      <c r="J208" s="62"/>
    </row>
    <row r="209">
      <c r="E209" s="62"/>
      <c r="J209" s="62"/>
    </row>
    <row r="210">
      <c r="E210" s="62"/>
      <c r="J210" s="62"/>
    </row>
    <row r="211">
      <c r="E211" s="62"/>
      <c r="J211" s="62"/>
    </row>
    <row r="212">
      <c r="E212" s="62"/>
      <c r="J212" s="62"/>
    </row>
    <row r="213">
      <c r="E213" s="62"/>
      <c r="J213" s="62"/>
    </row>
    <row r="214">
      <c r="E214" s="62"/>
      <c r="J214" s="62"/>
    </row>
    <row r="215">
      <c r="E215" s="62"/>
      <c r="J215" s="62"/>
    </row>
    <row r="216">
      <c r="E216" s="62"/>
      <c r="J216" s="62"/>
    </row>
    <row r="217">
      <c r="E217" s="62"/>
      <c r="J217" s="62"/>
    </row>
    <row r="218">
      <c r="E218" s="62"/>
      <c r="J218" s="62"/>
    </row>
    <row r="219">
      <c r="E219" s="62"/>
      <c r="J219" s="62"/>
    </row>
    <row r="220">
      <c r="E220" s="62"/>
      <c r="J220" s="62"/>
    </row>
    <row r="221">
      <c r="E221" s="62"/>
      <c r="J221" s="62"/>
    </row>
    <row r="222">
      <c r="E222" s="62"/>
      <c r="J222" s="62"/>
    </row>
    <row r="223">
      <c r="E223" s="62"/>
      <c r="J223" s="62"/>
    </row>
    <row r="224">
      <c r="E224" s="62"/>
      <c r="J224" s="62"/>
    </row>
    <row r="225">
      <c r="E225" s="62"/>
      <c r="J225" s="62"/>
    </row>
    <row r="226">
      <c r="E226" s="62"/>
      <c r="J226" s="62"/>
    </row>
    <row r="227">
      <c r="E227" s="62"/>
      <c r="J227" s="62"/>
    </row>
    <row r="228">
      <c r="E228" s="62"/>
      <c r="J228" s="62"/>
    </row>
    <row r="229">
      <c r="E229" s="62"/>
      <c r="J229" s="62"/>
    </row>
    <row r="230">
      <c r="E230" s="62"/>
      <c r="J230" s="62"/>
    </row>
    <row r="231">
      <c r="E231" s="62"/>
      <c r="J231" s="62"/>
    </row>
    <row r="232">
      <c r="E232" s="62"/>
      <c r="J232" s="62"/>
    </row>
    <row r="233">
      <c r="E233" s="62"/>
      <c r="J233" s="62"/>
    </row>
    <row r="234">
      <c r="E234" s="62"/>
      <c r="J234" s="62"/>
    </row>
    <row r="235">
      <c r="E235" s="62"/>
      <c r="J235" s="62"/>
    </row>
    <row r="236">
      <c r="E236" s="62"/>
      <c r="J236" s="62"/>
    </row>
    <row r="237">
      <c r="E237" s="62"/>
      <c r="J237" s="62"/>
    </row>
    <row r="238">
      <c r="E238" s="62"/>
      <c r="J238" s="62"/>
    </row>
    <row r="239">
      <c r="E239" s="62"/>
      <c r="J239" s="62"/>
    </row>
    <row r="240">
      <c r="E240" s="62"/>
      <c r="J240" s="62"/>
    </row>
    <row r="241">
      <c r="E241" s="62"/>
      <c r="J241" s="62"/>
    </row>
    <row r="242">
      <c r="E242" s="62"/>
      <c r="J242" s="62"/>
    </row>
    <row r="243">
      <c r="E243" s="62"/>
      <c r="J243" s="62"/>
    </row>
    <row r="244">
      <c r="E244" s="62"/>
      <c r="J244" s="62"/>
    </row>
    <row r="245">
      <c r="E245" s="62"/>
      <c r="J245" s="62"/>
    </row>
    <row r="246">
      <c r="E246" s="62"/>
      <c r="J246" s="62"/>
    </row>
    <row r="247">
      <c r="E247" s="62"/>
      <c r="J247" s="62"/>
    </row>
    <row r="248">
      <c r="E248" s="62"/>
      <c r="J248" s="62"/>
    </row>
    <row r="249">
      <c r="E249" s="62"/>
      <c r="J249" s="62"/>
    </row>
    <row r="250">
      <c r="E250" s="62"/>
      <c r="J250" s="62"/>
    </row>
    <row r="251">
      <c r="E251" s="62"/>
      <c r="J251" s="62"/>
    </row>
    <row r="252">
      <c r="E252" s="62"/>
      <c r="J252" s="62"/>
    </row>
    <row r="253">
      <c r="E253" s="62"/>
      <c r="J253" s="62"/>
    </row>
    <row r="254">
      <c r="E254" s="62"/>
      <c r="J254" s="62"/>
    </row>
    <row r="255">
      <c r="E255" s="62"/>
      <c r="J255" s="62"/>
    </row>
    <row r="256">
      <c r="E256" s="62"/>
      <c r="J256" s="62"/>
    </row>
    <row r="257">
      <c r="E257" s="62"/>
      <c r="J257" s="62"/>
    </row>
    <row r="258">
      <c r="E258" s="62"/>
      <c r="J258" s="62"/>
    </row>
    <row r="259">
      <c r="E259" s="62"/>
      <c r="J259" s="62"/>
    </row>
    <row r="260">
      <c r="E260" s="62"/>
      <c r="J260" s="62"/>
    </row>
    <row r="261">
      <c r="E261" s="62"/>
      <c r="J261" s="62"/>
    </row>
    <row r="262">
      <c r="E262" s="62"/>
      <c r="J262" s="62"/>
    </row>
    <row r="263">
      <c r="E263" s="62"/>
      <c r="J263" s="62"/>
    </row>
    <row r="264">
      <c r="E264" s="62"/>
      <c r="J264" s="62"/>
    </row>
    <row r="265">
      <c r="E265" s="62"/>
      <c r="J265" s="62"/>
    </row>
    <row r="266">
      <c r="E266" s="62"/>
      <c r="J266" s="62"/>
    </row>
    <row r="267">
      <c r="E267" s="62"/>
      <c r="J267" s="62"/>
    </row>
    <row r="268">
      <c r="E268" s="62"/>
      <c r="J268" s="62"/>
    </row>
    <row r="269">
      <c r="E269" s="62"/>
      <c r="J269" s="62"/>
    </row>
    <row r="270">
      <c r="E270" s="62"/>
      <c r="J270" s="62"/>
    </row>
    <row r="271">
      <c r="E271" s="62"/>
      <c r="J271" s="62"/>
    </row>
    <row r="272">
      <c r="E272" s="62"/>
      <c r="J272" s="62"/>
    </row>
    <row r="273">
      <c r="E273" s="62"/>
      <c r="J273" s="62"/>
    </row>
    <row r="274">
      <c r="E274" s="62"/>
      <c r="J274" s="62"/>
    </row>
    <row r="275">
      <c r="E275" s="62"/>
      <c r="J275" s="62"/>
    </row>
    <row r="276">
      <c r="E276" s="62"/>
      <c r="J276" s="62"/>
    </row>
    <row r="277">
      <c r="E277" s="62"/>
      <c r="J277" s="62"/>
    </row>
    <row r="278">
      <c r="E278" s="62"/>
      <c r="J278" s="62"/>
    </row>
    <row r="279">
      <c r="E279" s="62"/>
      <c r="J279" s="62"/>
    </row>
    <row r="280">
      <c r="E280" s="62"/>
      <c r="J280" s="62"/>
    </row>
    <row r="281">
      <c r="E281" s="62"/>
      <c r="J281" s="62"/>
    </row>
    <row r="282">
      <c r="E282" s="62"/>
      <c r="J282" s="62"/>
    </row>
    <row r="283">
      <c r="E283" s="62"/>
      <c r="J283" s="62"/>
    </row>
    <row r="284">
      <c r="E284" s="62"/>
      <c r="J284" s="62"/>
    </row>
    <row r="285">
      <c r="E285" s="62"/>
      <c r="J285" s="62"/>
    </row>
    <row r="286">
      <c r="E286" s="62"/>
      <c r="J286" s="62"/>
    </row>
    <row r="287">
      <c r="E287" s="62"/>
      <c r="J287" s="62"/>
    </row>
    <row r="288">
      <c r="E288" s="62"/>
      <c r="J288" s="62"/>
    </row>
    <row r="289">
      <c r="E289" s="62"/>
      <c r="J289" s="62"/>
    </row>
    <row r="290">
      <c r="E290" s="62"/>
      <c r="J290" s="62"/>
    </row>
    <row r="291">
      <c r="E291" s="62"/>
      <c r="J291" s="62"/>
    </row>
    <row r="292">
      <c r="E292" s="62"/>
      <c r="J292" s="62"/>
    </row>
    <row r="293">
      <c r="E293" s="62"/>
      <c r="J293" s="62"/>
    </row>
    <row r="294">
      <c r="E294" s="62"/>
      <c r="J294" s="62"/>
    </row>
    <row r="295">
      <c r="E295" s="62"/>
      <c r="J295" s="62"/>
    </row>
    <row r="296">
      <c r="E296" s="62"/>
      <c r="J296" s="62"/>
    </row>
    <row r="297">
      <c r="E297" s="62"/>
      <c r="J297" s="62"/>
    </row>
    <row r="298">
      <c r="E298" s="62"/>
      <c r="J298" s="62"/>
    </row>
    <row r="299">
      <c r="E299" s="62"/>
      <c r="J299" s="62"/>
    </row>
    <row r="300">
      <c r="E300" s="62"/>
      <c r="J300" s="62"/>
    </row>
    <row r="301">
      <c r="E301" s="62"/>
      <c r="J301" s="62"/>
    </row>
    <row r="302">
      <c r="E302" s="62"/>
      <c r="J302" s="62"/>
    </row>
    <row r="303">
      <c r="E303" s="62"/>
      <c r="J303" s="62"/>
    </row>
    <row r="304">
      <c r="E304" s="62"/>
      <c r="J304" s="62"/>
    </row>
    <row r="305">
      <c r="E305" s="62"/>
      <c r="J305" s="62"/>
    </row>
    <row r="306">
      <c r="E306" s="62"/>
      <c r="J306" s="62"/>
    </row>
    <row r="307">
      <c r="E307" s="62"/>
      <c r="J307" s="62"/>
    </row>
    <row r="308">
      <c r="E308" s="62"/>
      <c r="J308" s="62"/>
    </row>
    <row r="309">
      <c r="E309" s="62"/>
      <c r="J309" s="62"/>
    </row>
    <row r="310">
      <c r="E310" s="62"/>
      <c r="J310" s="62"/>
    </row>
    <row r="311">
      <c r="E311" s="62"/>
      <c r="J311" s="62"/>
    </row>
    <row r="312">
      <c r="E312" s="62"/>
      <c r="J312" s="62"/>
    </row>
    <row r="313">
      <c r="E313" s="62"/>
      <c r="J313" s="62"/>
    </row>
    <row r="314">
      <c r="E314" s="62"/>
      <c r="J314" s="62"/>
    </row>
    <row r="315">
      <c r="E315" s="62"/>
      <c r="J315" s="62"/>
    </row>
    <row r="316">
      <c r="E316" s="62"/>
      <c r="J316" s="62"/>
    </row>
    <row r="317">
      <c r="E317" s="62"/>
      <c r="J317" s="62"/>
    </row>
    <row r="318">
      <c r="E318" s="62"/>
      <c r="J318" s="62"/>
    </row>
    <row r="319">
      <c r="E319" s="62"/>
      <c r="J319" s="62"/>
    </row>
    <row r="320">
      <c r="E320" s="62"/>
      <c r="J320" s="62"/>
    </row>
    <row r="321">
      <c r="E321" s="62"/>
      <c r="J321" s="62"/>
    </row>
    <row r="322">
      <c r="E322" s="62"/>
      <c r="J322" s="62"/>
    </row>
    <row r="323">
      <c r="E323" s="62"/>
      <c r="J323" s="62"/>
    </row>
    <row r="324">
      <c r="E324" s="62"/>
      <c r="J324" s="62"/>
    </row>
    <row r="325">
      <c r="E325" s="62"/>
      <c r="J325" s="62"/>
    </row>
    <row r="326">
      <c r="E326" s="62"/>
      <c r="J326" s="62"/>
    </row>
    <row r="327">
      <c r="E327" s="62"/>
      <c r="J327" s="62"/>
    </row>
    <row r="328">
      <c r="E328" s="62"/>
      <c r="J328" s="62"/>
    </row>
    <row r="329">
      <c r="E329" s="62"/>
      <c r="J329" s="62"/>
    </row>
    <row r="330">
      <c r="E330" s="62"/>
      <c r="J330" s="62"/>
    </row>
    <row r="331">
      <c r="E331" s="62"/>
      <c r="J331" s="62"/>
    </row>
    <row r="332">
      <c r="E332" s="62"/>
      <c r="J332" s="62"/>
    </row>
    <row r="333">
      <c r="E333" s="62"/>
      <c r="J333" s="62"/>
    </row>
    <row r="334">
      <c r="E334" s="62"/>
      <c r="J334" s="62"/>
    </row>
    <row r="335">
      <c r="E335" s="62"/>
      <c r="J335" s="62"/>
    </row>
    <row r="336">
      <c r="E336" s="62"/>
      <c r="J336" s="62"/>
    </row>
    <row r="337">
      <c r="E337" s="62"/>
      <c r="J337" s="62"/>
    </row>
    <row r="338">
      <c r="E338" s="62"/>
      <c r="J338" s="62"/>
    </row>
    <row r="339">
      <c r="E339" s="62"/>
      <c r="J339" s="62"/>
    </row>
    <row r="340">
      <c r="E340" s="62"/>
      <c r="J340" s="62"/>
    </row>
    <row r="341">
      <c r="E341" s="62"/>
      <c r="J341" s="62"/>
    </row>
    <row r="342">
      <c r="E342" s="62"/>
      <c r="J342" s="62"/>
    </row>
    <row r="343">
      <c r="E343" s="62"/>
      <c r="J343" s="62"/>
    </row>
    <row r="344">
      <c r="E344" s="62"/>
      <c r="J344" s="62"/>
    </row>
    <row r="345">
      <c r="E345" s="62"/>
      <c r="J345" s="62"/>
    </row>
    <row r="346">
      <c r="E346" s="62"/>
      <c r="J346" s="62"/>
    </row>
    <row r="347">
      <c r="E347" s="62"/>
      <c r="J347" s="62"/>
    </row>
    <row r="348">
      <c r="E348" s="62"/>
      <c r="J348" s="62"/>
    </row>
    <row r="349">
      <c r="E349" s="62"/>
      <c r="J349" s="62"/>
    </row>
    <row r="350">
      <c r="E350" s="62"/>
      <c r="J350" s="62"/>
    </row>
    <row r="351">
      <c r="E351" s="62"/>
      <c r="J351" s="62"/>
    </row>
    <row r="352">
      <c r="E352" s="62"/>
      <c r="J352" s="62"/>
    </row>
    <row r="353">
      <c r="E353" s="62"/>
      <c r="J353" s="62"/>
    </row>
    <row r="354">
      <c r="E354" s="62"/>
      <c r="J354" s="62"/>
    </row>
    <row r="355">
      <c r="E355" s="62"/>
      <c r="J355" s="62"/>
    </row>
    <row r="356">
      <c r="E356" s="62"/>
      <c r="J356" s="62"/>
    </row>
    <row r="357">
      <c r="E357" s="62"/>
      <c r="J357" s="62"/>
    </row>
    <row r="358">
      <c r="E358" s="62"/>
      <c r="J358" s="62"/>
    </row>
    <row r="359">
      <c r="E359" s="62"/>
      <c r="J359" s="62"/>
    </row>
    <row r="360">
      <c r="E360" s="62"/>
      <c r="J360" s="62"/>
    </row>
    <row r="361">
      <c r="E361" s="62"/>
      <c r="J361" s="62"/>
    </row>
    <row r="362">
      <c r="E362" s="62"/>
      <c r="J362" s="62"/>
    </row>
    <row r="363">
      <c r="E363" s="62"/>
      <c r="J363" s="62"/>
    </row>
    <row r="364">
      <c r="E364" s="62"/>
      <c r="J364" s="62"/>
    </row>
    <row r="365">
      <c r="E365" s="62"/>
      <c r="J365" s="62"/>
    </row>
    <row r="366">
      <c r="E366" s="62"/>
      <c r="J366" s="62"/>
    </row>
    <row r="367">
      <c r="E367" s="62"/>
      <c r="J367" s="62"/>
    </row>
    <row r="368">
      <c r="E368" s="62"/>
      <c r="J368" s="62"/>
    </row>
    <row r="369">
      <c r="E369" s="62"/>
      <c r="J369" s="62"/>
    </row>
    <row r="370">
      <c r="E370" s="62"/>
      <c r="J370" s="62"/>
    </row>
    <row r="371">
      <c r="E371" s="62"/>
      <c r="J371" s="62"/>
    </row>
    <row r="372">
      <c r="E372" s="62"/>
      <c r="J372" s="62"/>
    </row>
    <row r="373">
      <c r="E373" s="62"/>
      <c r="J373" s="62"/>
    </row>
    <row r="374">
      <c r="E374" s="62"/>
      <c r="J374" s="62"/>
    </row>
    <row r="375">
      <c r="E375" s="62"/>
      <c r="J375" s="62"/>
    </row>
    <row r="376">
      <c r="E376" s="62"/>
      <c r="J376" s="62"/>
    </row>
    <row r="377">
      <c r="E377" s="62"/>
      <c r="J377" s="62"/>
    </row>
    <row r="378">
      <c r="E378" s="62"/>
      <c r="J378" s="62"/>
    </row>
    <row r="379">
      <c r="E379" s="62"/>
      <c r="J379" s="62"/>
    </row>
    <row r="380">
      <c r="E380" s="62"/>
      <c r="J380" s="62"/>
    </row>
    <row r="381">
      <c r="E381" s="62"/>
      <c r="J381" s="62"/>
    </row>
    <row r="382">
      <c r="E382" s="62"/>
      <c r="J382" s="62"/>
    </row>
    <row r="383">
      <c r="E383" s="62"/>
      <c r="J383" s="62"/>
    </row>
    <row r="384">
      <c r="E384" s="62"/>
      <c r="J384" s="62"/>
    </row>
    <row r="385">
      <c r="E385" s="62"/>
      <c r="J385" s="62"/>
    </row>
    <row r="386">
      <c r="E386" s="62"/>
      <c r="J386" s="62"/>
    </row>
    <row r="387">
      <c r="E387" s="62"/>
      <c r="J387" s="62"/>
    </row>
    <row r="388">
      <c r="E388" s="62"/>
      <c r="J388" s="62"/>
    </row>
    <row r="389">
      <c r="E389" s="62"/>
      <c r="J389" s="62"/>
    </row>
    <row r="390">
      <c r="E390" s="62"/>
      <c r="J390" s="62"/>
    </row>
    <row r="391">
      <c r="E391" s="62"/>
      <c r="J391" s="62"/>
    </row>
    <row r="392">
      <c r="E392" s="62"/>
      <c r="J392" s="62"/>
    </row>
    <row r="393">
      <c r="E393" s="62"/>
      <c r="J393" s="62"/>
    </row>
    <row r="394">
      <c r="E394" s="62"/>
      <c r="J394" s="62"/>
    </row>
    <row r="395">
      <c r="E395" s="62"/>
      <c r="J395" s="62"/>
    </row>
    <row r="396">
      <c r="E396" s="62"/>
      <c r="J396" s="62"/>
    </row>
    <row r="397">
      <c r="E397" s="62"/>
      <c r="J397" s="62"/>
    </row>
    <row r="398">
      <c r="E398" s="62"/>
      <c r="J398" s="62"/>
    </row>
    <row r="399">
      <c r="E399" s="62"/>
      <c r="J399" s="62"/>
    </row>
    <row r="400">
      <c r="E400" s="62"/>
      <c r="J400" s="62"/>
    </row>
    <row r="401">
      <c r="E401" s="62"/>
      <c r="J401" s="62"/>
    </row>
    <row r="402">
      <c r="E402" s="62"/>
      <c r="J402" s="62"/>
    </row>
    <row r="403">
      <c r="E403" s="62"/>
      <c r="J403" s="62"/>
    </row>
    <row r="404">
      <c r="E404" s="62"/>
      <c r="J404" s="62"/>
    </row>
    <row r="405">
      <c r="E405" s="62"/>
      <c r="J405" s="62"/>
    </row>
    <row r="406">
      <c r="E406" s="62"/>
      <c r="J406" s="62"/>
    </row>
    <row r="407">
      <c r="E407" s="62"/>
      <c r="J407" s="62"/>
    </row>
    <row r="408">
      <c r="E408" s="62"/>
      <c r="J408" s="62"/>
    </row>
    <row r="409">
      <c r="E409" s="62"/>
      <c r="J409" s="62"/>
    </row>
    <row r="410">
      <c r="E410" s="62"/>
      <c r="J410" s="62"/>
    </row>
    <row r="411">
      <c r="E411" s="62"/>
      <c r="J411" s="62"/>
    </row>
    <row r="412">
      <c r="E412" s="62"/>
      <c r="J412" s="62"/>
    </row>
    <row r="413">
      <c r="E413" s="62"/>
      <c r="J413" s="62"/>
    </row>
    <row r="414">
      <c r="E414" s="62"/>
      <c r="J414" s="62"/>
    </row>
    <row r="415">
      <c r="E415" s="62"/>
      <c r="J415" s="62"/>
    </row>
    <row r="416">
      <c r="E416" s="62"/>
      <c r="J416" s="62"/>
    </row>
    <row r="417">
      <c r="E417" s="62"/>
      <c r="J417" s="62"/>
    </row>
    <row r="418">
      <c r="E418" s="62"/>
      <c r="J418" s="62"/>
    </row>
    <row r="419">
      <c r="E419" s="62"/>
      <c r="J419" s="62"/>
    </row>
    <row r="420">
      <c r="E420" s="62"/>
      <c r="J420" s="62"/>
    </row>
    <row r="421">
      <c r="E421" s="62"/>
      <c r="J421" s="62"/>
    </row>
    <row r="422">
      <c r="E422" s="62"/>
      <c r="J422" s="62"/>
    </row>
    <row r="423">
      <c r="E423" s="62"/>
      <c r="J423" s="62"/>
    </row>
    <row r="424">
      <c r="E424" s="62"/>
      <c r="J424" s="62"/>
    </row>
    <row r="425">
      <c r="E425" s="62"/>
      <c r="J425" s="62"/>
    </row>
    <row r="426">
      <c r="E426" s="62"/>
      <c r="J426" s="62"/>
    </row>
    <row r="427">
      <c r="E427" s="62"/>
      <c r="J427" s="62"/>
    </row>
    <row r="428">
      <c r="E428" s="62"/>
      <c r="J428" s="62"/>
    </row>
    <row r="429">
      <c r="E429" s="62"/>
      <c r="J429" s="62"/>
    </row>
    <row r="430">
      <c r="E430" s="62"/>
      <c r="J430" s="62"/>
    </row>
    <row r="431">
      <c r="E431" s="62"/>
      <c r="J431" s="62"/>
    </row>
    <row r="432">
      <c r="E432" s="62"/>
      <c r="J432" s="62"/>
    </row>
    <row r="433">
      <c r="E433" s="62"/>
      <c r="J433" s="62"/>
    </row>
    <row r="434">
      <c r="E434" s="62"/>
      <c r="J434" s="62"/>
    </row>
    <row r="435">
      <c r="E435" s="62"/>
      <c r="J435" s="62"/>
    </row>
    <row r="436">
      <c r="E436" s="62"/>
      <c r="J436" s="62"/>
    </row>
    <row r="437">
      <c r="E437" s="62"/>
      <c r="J437" s="62"/>
    </row>
    <row r="438">
      <c r="E438" s="62"/>
      <c r="J438" s="62"/>
    </row>
    <row r="439">
      <c r="E439" s="62"/>
      <c r="J439" s="62"/>
    </row>
    <row r="440">
      <c r="E440" s="62"/>
      <c r="J440" s="62"/>
    </row>
    <row r="441">
      <c r="E441" s="62"/>
      <c r="J441" s="62"/>
    </row>
    <row r="442">
      <c r="E442" s="62"/>
      <c r="J442" s="62"/>
    </row>
    <row r="443">
      <c r="E443" s="62"/>
      <c r="J443" s="62"/>
    </row>
    <row r="444">
      <c r="E444" s="62"/>
      <c r="J444" s="62"/>
    </row>
    <row r="445">
      <c r="E445" s="62"/>
      <c r="J445" s="62"/>
    </row>
    <row r="446">
      <c r="E446" s="62"/>
      <c r="J446" s="62"/>
    </row>
    <row r="447">
      <c r="E447" s="62"/>
      <c r="J447" s="62"/>
    </row>
    <row r="448">
      <c r="E448" s="62"/>
      <c r="J448" s="62"/>
    </row>
    <row r="449">
      <c r="E449" s="62"/>
      <c r="J449" s="62"/>
    </row>
    <row r="450">
      <c r="E450" s="62"/>
      <c r="J450" s="62"/>
    </row>
    <row r="451">
      <c r="E451" s="62"/>
      <c r="J451" s="62"/>
    </row>
    <row r="452">
      <c r="E452" s="62"/>
      <c r="J452" s="62"/>
    </row>
    <row r="453">
      <c r="E453" s="62"/>
      <c r="J453" s="62"/>
    </row>
    <row r="454">
      <c r="E454" s="62"/>
      <c r="J454" s="62"/>
    </row>
    <row r="455">
      <c r="E455" s="62"/>
      <c r="J455" s="62"/>
    </row>
    <row r="456">
      <c r="E456" s="62"/>
      <c r="J456" s="62"/>
    </row>
    <row r="457">
      <c r="E457" s="62"/>
      <c r="J457" s="62"/>
    </row>
    <row r="458">
      <c r="E458" s="62"/>
      <c r="J458" s="62"/>
    </row>
    <row r="459">
      <c r="E459" s="62"/>
      <c r="J459" s="62"/>
    </row>
    <row r="460">
      <c r="E460" s="62"/>
      <c r="J460" s="62"/>
    </row>
    <row r="461">
      <c r="E461" s="62"/>
      <c r="J461" s="62"/>
    </row>
    <row r="462">
      <c r="E462" s="62"/>
      <c r="J462" s="62"/>
    </row>
    <row r="463">
      <c r="E463" s="62"/>
      <c r="J463" s="62"/>
    </row>
    <row r="464">
      <c r="E464" s="62"/>
      <c r="J464" s="62"/>
    </row>
    <row r="465">
      <c r="E465" s="62"/>
      <c r="J465" s="62"/>
    </row>
    <row r="466">
      <c r="E466" s="62"/>
      <c r="J466" s="62"/>
    </row>
    <row r="467">
      <c r="E467" s="62"/>
      <c r="J467" s="62"/>
    </row>
    <row r="468">
      <c r="E468" s="62"/>
      <c r="J468" s="62"/>
    </row>
    <row r="469">
      <c r="E469" s="62"/>
      <c r="J469" s="62"/>
    </row>
    <row r="470">
      <c r="E470" s="62"/>
      <c r="J470" s="62"/>
    </row>
    <row r="471">
      <c r="E471" s="62"/>
      <c r="J471" s="62"/>
    </row>
    <row r="472">
      <c r="E472" s="62"/>
      <c r="J472" s="62"/>
    </row>
    <row r="473">
      <c r="E473" s="62"/>
      <c r="J473" s="62"/>
    </row>
    <row r="474">
      <c r="E474" s="62"/>
      <c r="J474" s="62"/>
    </row>
    <row r="475">
      <c r="E475" s="62"/>
      <c r="J475" s="62"/>
    </row>
    <row r="476">
      <c r="E476" s="62"/>
      <c r="J476" s="62"/>
    </row>
    <row r="477">
      <c r="E477" s="62"/>
      <c r="J477" s="62"/>
    </row>
    <row r="478">
      <c r="E478" s="62"/>
      <c r="J478" s="62"/>
    </row>
    <row r="479">
      <c r="E479" s="62"/>
      <c r="J479" s="62"/>
    </row>
    <row r="480">
      <c r="E480" s="62"/>
      <c r="J480" s="62"/>
    </row>
    <row r="481">
      <c r="E481" s="62"/>
      <c r="J481" s="62"/>
    </row>
    <row r="482">
      <c r="E482" s="62"/>
      <c r="J482" s="62"/>
    </row>
    <row r="483">
      <c r="E483" s="62"/>
      <c r="J483" s="62"/>
    </row>
    <row r="484">
      <c r="E484" s="62"/>
      <c r="J484" s="62"/>
    </row>
    <row r="485">
      <c r="E485" s="62"/>
      <c r="J485" s="62"/>
    </row>
    <row r="486">
      <c r="E486" s="62"/>
      <c r="J486" s="62"/>
    </row>
    <row r="487">
      <c r="E487" s="62"/>
      <c r="J487" s="62"/>
    </row>
    <row r="488">
      <c r="E488" s="62"/>
      <c r="J488" s="62"/>
    </row>
    <row r="489">
      <c r="E489" s="62"/>
      <c r="J489" s="62"/>
    </row>
    <row r="490">
      <c r="E490" s="62"/>
      <c r="J490" s="62"/>
    </row>
    <row r="491">
      <c r="E491" s="62"/>
      <c r="J491" s="62"/>
    </row>
    <row r="492">
      <c r="E492" s="62"/>
      <c r="J492" s="62"/>
    </row>
    <row r="493">
      <c r="E493" s="62"/>
      <c r="J493" s="62"/>
    </row>
    <row r="494">
      <c r="E494" s="62"/>
      <c r="J494" s="62"/>
    </row>
    <row r="495">
      <c r="E495" s="62"/>
      <c r="J495" s="62"/>
    </row>
    <row r="496">
      <c r="E496" s="62"/>
      <c r="J496" s="62"/>
    </row>
    <row r="497">
      <c r="E497" s="62"/>
      <c r="J497" s="62"/>
    </row>
    <row r="498">
      <c r="E498" s="62"/>
      <c r="J498" s="62"/>
    </row>
    <row r="499">
      <c r="E499" s="62"/>
      <c r="J499" s="62"/>
    </row>
    <row r="500">
      <c r="E500" s="62"/>
      <c r="J500" s="62"/>
    </row>
    <row r="501">
      <c r="E501" s="62"/>
      <c r="J501" s="62"/>
    </row>
    <row r="502">
      <c r="E502" s="62"/>
      <c r="J502" s="62"/>
    </row>
    <row r="503">
      <c r="E503" s="62"/>
      <c r="J503" s="62"/>
    </row>
    <row r="504">
      <c r="E504" s="62"/>
      <c r="J504" s="62"/>
    </row>
    <row r="505">
      <c r="E505" s="62"/>
      <c r="J505" s="62"/>
    </row>
    <row r="506">
      <c r="E506" s="62"/>
      <c r="J506" s="62"/>
    </row>
    <row r="507">
      <c r="E507" s="62"/>
      <c r="J507" s="62"/>
    </row>
    <row r="508">
      <c r="E508" s="62"/>
      <c r="J508" s="62"/>
    </row>
    <row r="509">
      <c r="E509" s="62"/>
      <c r="J509" s="62"/>
    </row>
    <row r="510">
      <c r="E510" s="62"/>
      <c r="J510" s="62"/>
    </row>
    <row r="511">
      <c r="E511" s="62"/>
      <c r="J511" s="62"/>
    </row>
    <row r="512">
      <c r="E512" s="62"/>
      <c r="J512" s="62"/>
    </row>
    <row r="513">
      <c r="E513" s="62"/>
      <c r="J513" s="62"/>
    </row>
    <row r="514">
      <c r="E514" s="62"/>
      <c r="J514" s="62"/>
    </row>
    <row r="515">
      <c r="E515" s="62"/>
      <c r="J515" s="62"/>
    </row>
    <row r="516">
      <c r="E516" s="62"/>
      <c r="J516" s="62"/>
    </row>
    <row r="517">
      <c r="E517" s="62"/>
      <c r="J517" s="62"/>
    </row>
    <row r="518">
      <c r="E518" s="62"/>
      <c r="J518" s="62"/>
    </row>
    <row r="519">
      <c r="E519" s="62"/>
      <c r="J519" s="62"/>
    </row>
    <row r="520">
      <c r="E520" s="62"/>
      <c r="J520" s="62"/>
    </row>
    <row r="521">
      <c r="E521" s="62"/>
      <c r="J521" s="62"/>
    </row>
    <row r="522">
      <c r="E522" s="62"/>
      <c r="J522" s="62"/>
    </row>
    <row r="523">
      <c r="E523" s="62"/>
      <c r="J523" s="62"/>
    </row>
    <row r="524">
      <c r="E524" s="62"/>
      <c r="J524" s="62"/>
    </row>
    <row r="525">
      <c r="E525" s="62"/>
      <c r="J525" s="62"/>
    </row>
    <row r="526">
      <c r="E526" s="62"/>
      <c r="J526" s="62"/>
    </row>
    <row r="527">
      <c r="E527" s="62"/>
      <c r="J527" s="62"/>
    </row>
    <row r="528">
      <c r="E528" s="62"/>
      <c r="J528" s="62"/>
    </row>
    <row r="529">
      <c r="E529" s="62"/>
      <c r="J529" s="62"/>
    </row>
    <row r="530">
      <c r="E530" s="62"/>
      <c r="J530" s="62"/>
    </row>
    <row r="531">
      <c r="E531" s="62"/>
      <c r="J531" s="62"/>
    </row>
    <row r="532">
      <c r="E532" s="62"/>
      <c r="J532" s="62"/>
    </row>
    <row r="533">
      <c r="E533" s="62"/>
      <c r="J533" s="62"/>
    </row>
    <row r="534">
      <c r="E534" s="62"/>
      <c r="J534" s="62"/>
    </row>
    <row r="535">
      <c r="E535" s="62"/>
      <c r="J535" s="62"/>
    </row>
    <row r="536">
      <c r="E536" s="62"/>
      <c r="J536" s="62"/>
    </row>
    <row r="537">
      <c r="E537" s="62"/>
      <c r="J537" s="62"/>
    </row>
    <row r="538">
      <c r="E538" s="62"/>
      <c r="J538" s="62"/>
    </row>
    <row r="539">
      <c r="E539" s="62"/>
      <c r="J539" s="62"/>
    </row>
    <row r="540">
      <c r="E540" s="62"/>
      <c r="J540" s="62"/>
    </row>
    <row r="541">
      <c r="E541" s="62"/>
      <c r="J541" s="62"/>
    </row>
    <row r="542">
      <c r="E542" s="62"/>
      <c r="J542" s="62"/>
    </row>
    <row r="543">
      <c r="E543" s="62"/>
      <c r="J543" s="62"/>
    </row>
    <row r="544">
      <c r="E544" s="62"/>
      <c r="J544" s="62"/>
    </row>
    <row r="545">
      <c r="E545" s="62"/>
      <c r="J545" s="62"/>
    </row>
    <row r="546">
      <c r="E546" s="62"/>
      <c r="J546" s="62"/>
    </row>
    <row r="547">
      <c r="E547" s="62"/>
      <c r="J547" s="62"/>
    </row>
    <row r="548">
      <c r="E548" s="62"/>
      <c r="J548" s="62"/>
    </row>
    <row r="549">
      <c r="E549" s="62"/>
      <c r="J549" s="62"/>
    </row>
    <row r="550">
      <c r="E550" s="62"/>
      <c r="J550" s="62"/>
    </row>
    <row r="551">
      <c r="E551" s="62"/>
      <c r="J551" s="62"/>
    </row>
    <row r="552">
      <c r="E552" s="62"/>
      <c r="J552" s="62"/>
    </row>
    <row r="553">
      <c r="E553" s="62"/>
      <c r="J553" s="62"/>
    </row>
    <row r="554">
      <c r="E554" s="62"/>
      <c r="J554" s="62"/>
    </row>
    <row r="555">
      <c r="E555" s="62"/>
      <c r="J555" s="62"/>
    </row>
    <row r="556">
      <c r="E556" s="62"/>
      <c r="J556" s="62"/>
    </row>
    <row r="557">
      <c r="E557" s="62"/>
      <c r="J557" s="62"/>
    </row>
    <row r="558">
      <c r="E558" s="62"/>
      <c r="J558" s="62"/>
    </row>
    <row r="559">
      <c r="E559" s="62"/>
      <c r="J559" s="62"/>
    </row>
    <row r="560">
      <c r="E560" s="62"/>
      <c r="J560" s="62"/>
    </row>
    <row r="561">
      <c r="E561" s="62"/>
      <c r="J561" s="62"/>
    </row>
    <row r="562">
      <c r="E562" s="62"/>
      <c r="J562" s="62"/>
    </row>
    <row r="563">
      <c r="E563" s="62"/>
      <c r="J563" s="62"/>
    </row>
    <row r="564">
      <c r="E564" s="62"/>
      <c r="J564" s="62"/>
    </row>
    <row r="565">
      <c r="E565" s="62"/>
      <c r="J565" s="62"/>
    </row>
    <row r="566">
      <c r="E566" s="62"/>
      <c r="J566" s="62"/>
    </row>
    <row r="567">
      <c r="E567" s="62"/>
      <c r="J567" s="62"/>
    </row>
    <row r="568">
      <c r="E568" s="62"/>
      <c r="J568" s="62"/>
    </row>
    <row r="569">
      <c r="E569" s="62"/>
      <c r="J569" s="62"/>
    </row>
    <row r="570">
      <c r="E570" s="62"/>
      <c r="J570" s="62"/>
    </row>
    <row r="571">
      <c r="E571" s="62"/>
      <c r="J571" s="62"/>
    </row>
    <row r="572">
      <c r="E572" s="62"/>
      <c r="J572" s="62"/>
    </row>
    <row r="573">
      <c r="E573" s="62"/>
      <c r="J573" s="62"/>
    </row>
    <row r="574">
      <c r="E574" s="62"/>
      <c r="J574" s="62"/>
    </row>
    <row r="575">
      <c r="E575" s="62"/>
      <c r="J575" s="62"/>
    </row>
    <row r="576">
      <c r="E576" s="62"/>
      <c r="J576" s="62"/>
    </row>
    <row r="577">
      <c r="E577" s="62"/>
      <c r="J577" s="62"/>
    </row>
    <row r="578">
      <c r="E578" s="62"/>
      <c r="J578" s="62"/>
    </row>
    <row r="579">
      <c r="E579" s="62"/>
      <c r="J579" s="62"/>
    </row>
    <row r="580">
      <c r="E580" s="62"/>
      <c r="J580" s="62"/>
    </row>
    <row r="581">
      <c r="E581" s="62"/>
      <c r="J581" s="62"/>
    </row>
    <row r="582">
      <c r="E582" s="62"/>
      <c r="J582" s="62"/>
    </row>
    <row r="583">
      <c r="E583" s="62"/>
      <c r="J583" s="62"/>
    </row>
    <row r="584">
      <c r="E584" s="62"/>
      <c r="J584" s="62"/>
    </row>
    <row r="585">
      <c r="E585" s="62"/>
      <c r="J585" s="62"/>
    </row>
    <row r="586">
      <c r="E586" s="62"/>
      <c r="J586" s="62"/>
    </row>
    <row r="587">
      <c r="E587" s="62"/>
      <c r="J587" s="62"/>
    </row>
    <row r="588">
      <c r="E588" s="62"/>
      <c r="J588" s="62"/>
    </row>
    <row r="589">
      <c r="E589" s="62"/>
      <c r="J589" s="62"/>
    </row>
    <row r="590">
      <c r="E590" s="62"/>
      <c r="J590" s="62"/>
    </row>
    <row r="591">
      <c r="E591" s="62"/>
      <c r="J591" s="62"/>
    </row>
    <row r="592">
      <c r="E592" s="62"/>
      <c r="J592" s="62"/>
    </row>
    <row r="593">
      <c r="E593" s="62"/>
      <c r="J593" s="62"/>
    </row>
    <row r="594">
      <c r="E594" s="62"/>
      <c r="J594" s="62"/>
    </row>
    <row r="595">
      <c r="E595" s="62"/>
      <c r="J595" s="62"/>
    </row>
    <row r="596">
      <c r="E596" s="62"/>
      <c r="J596" s="62"/>
    </row>
    <row r="597">
      <c r="E597" s="62"/>
      <c r="J597" s="62"/>
    </row>
    <row r="598">
      <c r="E598" s="62"/>
      <c r="J598" s="62"/>
    </row>
    <row r="599">
      <c r="E599" s="62"/>
      <c r="J599" s="62"/>
    </row>
    <row r="600">
      <c r="E600" s="62"/>
      <c r="J600" s="62"/>
    </row>
    <row r="601">
      <c r="E601" s="62"/>
      <c r="J601" s="62"/>
    </row>
    <row r="602">
      <c r="E602" s="62"/>
      <c r="J602" s="62"/>
    </row>
    <row r="603">
      <c r="E603" s="62"/>
      <c r="J603" s="62"/>
    </row>
    <row r="604">
      <c r="E604" s="62"/>
      <c r="J604" s="62"/>
    </row>
    <row r="605">
      <c r="E605" s="62"/>
      <c r="J605" s="62"/>
    </row>
    <row r="606">
      <c r="E606" s="62"/>
      <c r="J606" s="62"/>
    </row>
    <row r="607">
      <c r="E607" s="62"/>
      <c r="J607" s="62"/>
    </row>
    <row r="608">
      <c r="E608" s="62"/>
      <c r="J608" s="62"/>
    </row>
    <row r="609">
      <c r="E609" s="62"/>
      <c r="J609" s="62"/>
    </row>
    <row r="610">
      <c r="E610" s="62"/>
      <c r="J610" s="62"/>
    </row>
    <row r="611">
      <c r="E611" s="62"/>
      <c r="J611" s="62"/>
    </row>
    <row r="612">
      <c r="E612" s="62"/>
      <c r="J612" s="62"/>
    </row>
    <row r="613">
      <c r="E613" s="62"/>
      <c r="J613" s="62"/>
    </row>
    <row r="614">
      <c r="E614" s="62"/>
      <c r="J614" s="62"/>
    </row>
    <row r="615">
      <c r="E615" s="62"/>
      <c r="J615" s="62"/>
    </row>
    <row r="616">
      <c r="E616" s="62"/>
      <c r="J616" s="62"/>
    </row>
    <row r="617">
      <c r="E617" s="62"/>
      <c r="J617" s="62"/>
    </row>
    <row r="618">
      <c r="E618" s="62"/>
      <c r="J618" s="62"/>
    </row>
    <row r="619">
      <c r="E619" s="62"/>
      <c r="J619" s="62"/>
    </row>
    <row r="620">
      <c r="E620" s="62"/>
      <c r="J620" s="62"/>
    </row>
    <row r="621">
      <c r="E621" s="62"/>
      <c r="J621" s="62"/>
    </row>
    <row r="622">
      <c r="E622" s="62"/>
      <c r="J622" s="62"/>
    </row>
    <row r="623">
      <c r="E623" s="62"/>
      <c r="J623" s="62"/>
    </row>
    <row r="624">
      <c r="E624" s="62"/>
      <c r="J624" s="62"/>
    </row>
    <row r="625">
      <c r="E625" s="62"/>
      <c r="J625" s="62"/>
    </row>
    <row r="626">
      <c r="E626" s="62"/>
      <c r="J626" s="62"/>
    </row>
    <row r="627">
      <c r="E627" s="62"/>
      <c r="J627" s="62"/>
    </row>
    <row r="628">
      <c r="E628" s="62"/>
      <c r="J628" s="62"/>
    </row>
    <row r="629">
      <c r="E629" s="62"/>
      <c r="J629" s="62"/>
    </row>
    <row r="630">
      <c r="E630" s="62"/>
      <c r="J630" s="62"/>
    </row>
    <row r="631">
      <c r="E631" s="62"/>
      <c r="J631" s="62"/>
    </row>
    <row r="632">
      <c r="E632" s="62"/>
      <c r="J632" s="62"/>
    </row>
    <row r="633">
      <c r="E633" s="62"/>
      <c r="J633" s="62"/>
    </row>
    <row r="634">
      <c r="E634" s="62"/>
      <c r="J634" s="62"/>
    </row>
    <row r="635">
      <c r="E635" s="62"/>
      <c r="J635" s="62"/>
    </row>
    <row r="636">
      <c r="E636" s="62"/>
      <c r="J636" s="62"/>
    </row>
    <row r="637">
      <c r="E637" s="62"/>
      <c r="J637" s="62"/>
    </row>
    <row r="638">
      <c r="E638" s="62"/>
      <c r="J638" s="62"/>
    </row>
    <row r="639">
      <c r="E639" s="62"/>
      <c r="J639" s="62"/>
    </row>
    <row r="640">
      <c r="E640" s="62"/>
      <c r="J640" s="62"/>
    </row>
    <row r="641">
      <c r="E641" s="62"/>
      <c r="J641" s="62"/>
    </row>
    <row r="642">
      <c r="E642" s="62"/>
      <c r="J642" s="62"/>
    </row>
    <row r="643">
      <c r="E643" s="62"/>
      <c r="J643" s="62"/>
    </row>
    <row r="644">
      <c r="E644" s="62"/>
      <c r="J644" s="62"/>
    </row>
    <row r="645">
      <c r="E645" s="62"/>
      <c r="J645" s="62"/>
    </row>
    <row r="646">
      <c r="E646" s="62"/>
      <c r="J646" s="62"/>
    </row>
    <row r="647">
      <c r="E647" s="62"/>
      <c r="J647" s="62"/>
    </row>
    <row r="648">
      <c r="E648" s="62"/>
      <c r="J648" s="62"/>
    </row>
    <row r="649">
      <c r="E649" s="62"/>
      <c r="J649" s="62"/>
    </row>
    <row r="650">
      <c r="E650" s="62"/>
      <c r="J650" s="62"/>
    </row>
    <row r="651">
      <c r="E651" s="62"/>
      <c r="J651" s="62"/>
    </row>
    <row r="652">
      <c r="E652" s="62"/>
      <c r="J652" s="62"/>
    </row>
    <row r="653">
      <c r="E653" s="62"/>
      <c r="J653" s="62"/>
    </row>
    <row r="654">
      <c r="E654" s="62"/>
      <c r="J654" s="62"/>
    </row>
    <row r="655">
      <c r="E655" s="62"/>
      <c r="J655" s="62"/>
    </row>
    <row r="656">
      <c r="E656" s="62"/>
      <c r="J656" s="62"/>
    </row>
    <row r="657">
      <c r="E657" s="62"/>
      <c r="J657" s="62"/>
    </row>
    <row r="658">
      <c r="E658" s="62"/>
      <c r="J658" s="62"/>
    </row>
    <row r="659">
      <c r="E659" s="62"/>
      <c r="J659" s="62"/>
    </row>
    <row r="660">
      <c r="E660" s="62"/>
      <c r="J660" s="62"/>
    </row>
    <row r="661">
      <c r="E661" s="62"/>
      <c r="J661" s="62"/>
    </row>
    <row r="662">
      <c r="E662" s="62"/>
      <c r="J662" s="62"/>
    </row>
    <row r="663">
      <c r="E663" s="62"/>
      <c r="J663" s="62"/>
    </row>
    <row r="664">
      <c r="E664" s="62"/>
      <c r="J664" s="62"/>
    </row>
    <row r="665">
      <c r="E665" s="62"/>
      <c r="J665" s="62"/>
    </row>
    <row r="666">
      <c r="E666" s="62"/>
      <c r="J666" s="62"/>
    </row>
    <row r="667">
      <c r="E667" s="62"/>
      <c r="J667" s="62"/>
    </row>
    <row r="668">
      <c r="E668" s="62"/>
      <c r="J668" s="62"/>
    </row>
    <row r="669">
      <c r="E669" s="62"/>
      <c r="J669" s="62"/>
    </row>
    <row r="670">
      <c r="E670" s="62"/>
      <c r="J670" s="62"/>
    </row>
    <row r="671">
      <c r="E671" s="62"/>
      <c r="J671" s="62"/>
    </row>
    <row r="672">
      <c r="E672" s="62"/>
      <c r="J672" s="62"/>
    </row>
    <row r="673">
      <c r="E673" s="62"/>
      <c r="J673" s="62"/>
    </row>
    <row r="674">
      <c r="E674" s="62"/>
      <c r="J674" s="62"/>
    </row>
    <row r="675">
      <c r="E675" s="62"/>
      <c r="J675" s="62"/>
    </row>
    <row r="676">
      <c r="E676" s="62"/>
      <c r="J676" s="62"/>
    </row>
    <row r="677">
      <c r="E677" s="62"/>
      <c r="J677" s="62"/>
    </row>
    <row r="678">
      <c r="E678" s="62"/>
      <c r="J678" s="62"/>
    </row>
    <row r="679">
      <c r="E679" s="62"/>
      <c r="J679" s="62"/>
    </row>
    <row r="680">
      <c r="E680" s="62"/>
      <c r="J680" s="62"/>
    </row>
    <row r="681">
      <c r="E681" s="62"/>
      <c r="J681" s="62"/>
    </row>
    <row r="682">
      <c r="E682" s="62"/>
      <c r="J682" s="62"/>
    </row>
    <row r="683">
      <c r="E683" s="62"/>
      <c r="J683" s="62"/>
    </row>
    <row r="684">
      <c r="E684" s="62"/>
      <c r="J684" s="62"/>
    </row>
    <row r="685">
      <c r="E685" s="62"/>
      <c r="J685" s="62"/>
    </row>
    <row r="686">
      <c r="E686" s="62"/>
      <c r="J686" s="62"/>
    </row>
    <row r="687">
      <c r="E687" s="62"/>
      <c r="J687" s="62"/>
    </row>
    <row r="688">
      <c r="E688" s="62"/>
      <c r="J688" s="62"/>
    </row>
    <row r="689">
      <c r="E689" s="62"/>
      <c r="J689" s="62"/>
    </row>
    <row r="690">
      <c r="E690" s="62"/>
      <c r="J690" s="62"/>
    </row>
    <row r="691">
      <c r="E691" s="62"/>
      <c r="J691" s="62"/>
    </row>
    <row r="692">
      <c r="E692" s="62"/>
      <c r="J692" s="62"/>
    </row>
    <row r="693">
      <c r="E693" s="62"/>
      <c r="J693" s="62"/>
    </row>
    <row r="694">
      <c r="E694" s="62"/>
      <c r="J694" s="62"/>
    </row>
    <row r="695">
      <c r="E695" s="62"/>
      <c r="J695" s="62"/>
    </row>
    <row r="696">
      <c r="E696" s="62"/>
      <c r="J696" s="62"/>
    </row>
    <row r="697">
      <c r="E697" s="62"/>
      <c r="J697" s="62"/>
    </row>
    <row r="698">
      <c r="E698" s="62"/>
      <c r="J698" s="62"/>
    </row>
    <row r="699">
      <c r="E699" s="62"/>
      <c r="J699" s="62"/>
    </row>
    <row r="700">
      <c r="E700" s="62"/>
      <c r="J700" s="62"/>
    </row>
    <row r="701">
      <c r="E701" s="62"/>
      <c r="J701" s="62"/>
    </row>
    <row r="702">
      <c r="E702" s="62"/>
      <c r="J702" s="62"/>
    </row>
    <row r="703">
      <c r="E703" s="62"/>
      <c r="J703" s="62"/>
    </row>
    <row r="704">
      <c r="E704" s="62"/>
      <c r="J704" s="62"/>
    </row>
    <row r="705">
      <c r="E705" s="62"/>
      <c r="J705" s="62"/>
    </row>
    <row r="706">
      <c r="E706" s="62"/>
      <c r="J706" s="62"/>
    </row>
    <row r="707">
      <c r="E707" s="62"/>
      <c r="J707" s="62"/>
    </row>
    <row r="708">
      <c r="E708" s="62"/>
      <c r="J708" s="62"/>
    </row>
    <row r="709">
      <c r="E709" s="62"/>
      <c r="J709" s="62"/>
    </row>
    <row r="710">
      <c r="E710" s="62"/>
      <c r="J710" s="62"/>
    </row>
    <row r="711">
      <c r="E711" s="62"/>
      <c r="J711" s="62"/>
    </row>
    <row r="712">
      <c r="E712" s="62"/>
      <c r="J712" s="62"/>
    </row>
    <row r="713">
      <c r="E713" s="62"/>
      <c r="J713" s="62"/>
    </row>
    <row r="714">
      <c r="E714" s="62"/>
      <c r="J714" s="62"/>
    </row>
    <row r="715">
      <c r="E715" s="62"/>
      <c r="J715" s="62"/>
    </row>
    <row r="716">
      <c r="E716" s="62"/>
      <c r="J716" s="62"/>
    </row>
    <row r="717">
      <c r="E717" s="62"/>
      <c r="J717" s="62"/>
    </row>
    <row r="718">
      <c r="E718" s="62"/>
      <c r="J718" s="62"/>
    </row>
    <row r="719">
      <c r="E719" s="62"/>
      <c r="J719" s="62"/>
    </row>
    <row r="720">
      <c r="E720" s="62"/>
      <c r="J720" s="62"/>
    </row>
    <row r="721">
      <c r="E721" s="62"/>
      <c r="J721" s="62"/>
    </row>
    <row r="722">
      <c r="E722" s="62"/>
      <c r="J722" s="62"/>
    </row>
    <row r="723">
      <c r="E723" s="62"/>
      <c r="J723" s="62"/>
    </row>
    <row r="724">
      <c r="E724" s="62"/>
      <c r="J724" s="62"/>
    </row>
    <row r="725">
      <c r="E725" s="62"/>
      <c r="J725" s="62"/>
    </row>
    <row r="726">
      <c r="E726" s="62"/>
      <c r="J726" s="62"/>
    </row>
    <row r="727">
      <c r="E727" s="62"/>
      <c r="J727" s="62"/>
    </row>
    <row r="728">
      <c r="E728" s="62"/>
      <c r="J728" s="62"/>
    </row>
    <row r="729">
      <c r="E729" s="62"/>
      <c r="J729" s="62"/>
    </row>
    <row r="730">
      <c r="E730" s="62"/>
      <c r="J730" s="62"/>
    </row>
    <row r="731">
      <c r="E731" s="62"/>
      <c r="J731" s="62"/>
    </row>
    <row r="732">
      <c r="E732" s="62"/>
      <c r="J732" s="62"/>
    </row>
    <row r="733">
      <c r="E733" s="62"/>
      <c r="J733" s="62"/>
    </row>
    <row r="734">
      <c r="E734" s="62"/>
      <c r="J734" s="62"/>
    </row>
    <row r="735">
      <c r="E735" s="62"/>
      <c r="J735" s="62"/>
    </row>
    <row r="736">
      <c r="E736" s="62"/>
      <c r="J736" s="62"/>
    </row>
    <row r="737">
      <c r="E737" s="62"/>
      <c r="J737" s="62"/>
    </row>
    <row r="738">
      <c r="E738" s="62"/>
      <c r="J738" s="62"/>
    </row>
    <row r="739">
      <c r="E739" s="62"/>
      <c r="J739" s="62"/>
    </row>
    <row r="740">
      <c r="E740" s="62"/>
      <c r="J740" s="62"/>
    </row>
    <row r="741">
      <c r="E741" s="62"/>
      <c r="J741" s="62"/>
    </row>
    <row r="742">
      <c r="E742" s="62"/>
      <c r="J742" s="62"/>
    </row>
    <row r="743">
      <c r="E743" s="62"/>
      <c r="J743" s="62"/>
    </row>
    <row r="744">
      <c r="E744" s="62"/>
      <c r="J744" s="62"/>
    </row>
    <row r="745">
      <c r="E745" s="62"/>
      <c r="J745" s="62"/>
    </row>
    <row r="746">
      <c r="E746" s="62"/>
      <c r="J746" s="62"/>
    </row>
    <row r="747">
      <c r="E747" s="62"/>
      <c r="J747" s="62"/>
    </row>
    <row r="748">
      <c r="E748" s="62"/>
      <c r="J748" s="62"/>
    </row>
    <row r="749">
      <c r="E749" s="62"/>
      <c r="J749" s="62"/>
    </row>
    <row r="750">
      <c r="E750" s="62"/>
      <c r="J750" s="62"/>
    </row>
    <row r="751">
      <c r="E751" s="62"/>
      <c r="J751" s="62"/>
    </row>
    <row r="752">
      <c r="E752" s="62"/>
      <c r="J752" s="62"/>
    </row>
    <row r="753">
      <c r="E753" s="62"/>
      <c r="J753" s="62"/>
    </row>
    <row r="754">
      <c r="E754" s="62"/>
      <c r="J754" s="62"/>
    </row>
    <row r="755">
      <c r="E755" s="62"/>
      <c r="J755" s="62"/>
    </row>
    <row r="756">
      <c r="E756" s="62"/>
      <c r="J756" s="62"/>
    </row>
    <row r="757">
      <c r="E757" s="62"/>
      <c r="J757" s="62"/>
    </row>
    <row r="758">
      <c r="E758" s="62"/>
      <c r="J758" s="62"/>
    </row>
    <row r="759">
      <c r="E759" s="62"/>
      <c r="J759" s="62"/>
    </row>
    <row r="760">
      <c r="E760" s="62"/>
      <c r="J760" s="62"/>
    </row>
    <row r="761">
      <c r="E761" s="62"/>
      <c r="J761" s="62"/>
    </row>
    <row r="762">
      <c r="E762" s="62"/>
      <c r="J762" s="62"/>
    </row>
    <row r="763">
      <c r="E763" s="62"/>
      <c r="J763" s="62"/>
    </row>
    <row r="764">
      <c r="E764" s="62"/>
      <c r="J764" s="62"/>
    </row>
    <row r="765">
      <c r="E765" s="62"/>
      <c r="J765" s="62"/>
    </row>
    <row r="766">
      <c r="E766" s="62"/>
      <c r="J766" s="62"/>
    </row>
    <row r="767">
      <c r="E767" s="62"/>
      <c r="J767" s="62"/>
    </row>
    <row r="768">
      <c r="E768" s="62"/>
      <c r="J768" s="62"/>
    </row>
    <row r="769">
      <c r="E769" s="62"/>
      <c r="J769" s="62"/>
    </row>
    <row r="770">
      <c r="E770" s="62"/>
      <c r="J770" s="62"/>
    </row>
    <row r="771">
      <c r="E771" s="62"/>
      <c r="J771" s="62"/>
    </row>
    <row r="772">
      <c r="E772" s="62"/>
      <c r="J772" s="62"/>
    </row>
    <row r="773">
      <c r="E773" s="62"/>
      <c r="J773" s="62"/>
    </row>
    <row r="774">
      <c r="E774" s="62"/>
      <c r="J774" s="62"/>
    </row>
    <row r="775">
      <c r="E775" s="62"/>
      <c r="J775" s="62"/>
    </row>
    <row r="776">
      <c r="E776" s="62"/>
      <c r="J776" s="62"/>
    </row>
    <row r="777">
      <c r="E777" s="62"/>
      <c r="J777" s="62"/>
    </row>
    <row r="778">
      <c r="E778" s="62"/>
      <c r="J778" s="62"/>
    </row>
    <row r="779">
      <c r="E779" s="62"/>
      <c r="J779" s="62"/>
    </row>
    <row r="780">
      <c r="E780" s="62"/>
      <c r="J780" s="62"/>
    </row>
    <row r="781">
      <c r="E781" s="62"/>
      <c r="J781" s="62"/>
    </row>
    <row r="782">
      <c r="E782" s="62"/>
      <c r="J782" s="62"/>
    </row>
    <row r="783">
      <c r="E783" s="62"/>
      <c r="J783" s="62"/>
    </row>
    <row r="784">
      <c r="E784" s="62"/>
      <c r="J784" s="62"/>
    </row>
    <row r="785">
      <c r="E785" s="62"/>
      <c r="J785" s="62"/>
    </row>
    <row r="786">
      <c r="E786" s="62"/>
      <c r="J786" s="62"/>
    </row>
    <row r="787">
      <c r="E787" s="62"/>
      <c r="J787" s="62"/>
    </row>
    <row r="788">
      <c r="E788" s="62"/>
      <c r="J788" s="62"/>
    </row>
    <row r="789">
      <c r="E789" s="62"/>
      <c r="J789" s="62"/>
    </row>
    <row r="790">
      <c r="E790" s="62"/>
      <c r="J790" s="62"/>
    </row>
    <row r="791">
      <c r="E791" s="62"/>
      <c r="J791" s="62"/>
    </row>
    <row r="792">
      <c r="E792" s="62"/>
      <c r="J792" s="62"/>
    </row>
    <row r="793">
      <c r="E793" s="62"/>
      <c r="J793" s="62"/>
    </row>
    <row r="794">
      <c r="E794" s="62"/>
      <c r="J794" s="62"/>
    </row>
    <row r="795">
      <c r="E795" s="62"/>
      <c r="J795" s="62"/>
    </row>
    <row r="796">
      <c r="E796" s="62"/>
      <c r="J796" s="62"/>
    </row>
    <row r="797">
      <c r="E797" s="62"/>
      <c r="J797" s="62"/>
    </row>
    <row r="798">
      <c r="E798" s="62"/>
      <c r="J798" s="62"/>
    </row>
    <row r="799">
      <c r="E799" s="62"/>
      <c r="J799" s="62"/>
    </row>
    <row r="800">
      <c r="E800" s="62"/>
      <c r="J800" s="62"/>
    </row>
    <row r="801">
      <c r="E801" s="62"/>
      <c r="J801" s="62"/>
    </row>
    <row r="802">
      <c r="E802" s="62"/>
      <c r="J802" s="62"/>
    </row>
    <row r="803">
      <c r="E803" s="62"/>
      <c r="J803" s="62"/>
    </row>
    <row r="804">
      <c r="E804" s="62"/>
      <c r="J804" s="62"/>
    </row>
    <row r="805">
      <c r="E805" s="62"/>
      <c r="J805" s="62"/>
    </row>
    <row r="806">
      <c r="E806" s="62"/>
      <c r="J806" s="62"/>
    </row>
    <row r="807">
      <c r="E807" s="62"/>
      <c r="J807" s="62"/>
    </row>
    <row r="808">
      <c r="E808" s="62"/>
      <c r="J808" s="62"/>
    </row>
    <row r="809">
      <c r="E809" s="62"/>
      <c r="J809" s="62"/>
    </row>
    <row r="810">
      <c r="E810" s="62"/>
      <c r="J810" s="62"/>
    </row>
    <row r="811">
      <c r="E811" s="62"/>
      <c r="J811" s="62"/>
    </row>
    <row r="812">
      <c r="E812" s="62"/>
      <c r="J812" s="62"/>
    </row>
    <row r="813">
      <c r="E813" s="62"/>
      <c r="J813" s="62"/>
    </row>
    <row r="814">
      <c r="E814" s="62"/>
      <c r="J814" s="62"/>
    </row>
    <row r="815">
      <c r="E815" s="62"/>
      <c r="J815" s="62"/>
    </row>
    <row r="816">
      <c r="E816" s="62"/>
      <c r="J816" s="62"/>
    </row>
    <row r="817">
      <c r="E817" s="62"/>
      <c r="J817" s="62"/>
    </row>
    <row r="818">
      <c r="E818" s="62"/>
      <c r="J818" s="62"/>
    </row>
    <row r="819">
      <c r="E819" s="62"/>
      <c r="J819" s="62"/>
    </row>
    <row r="820">
      <c r="E820" s="62"/>
      <c r="J820" s="62"/>
    </row>
    <row r="821">
      <c r="E821" s="62"/>
      <c r="J821" s="62"/>
    </row>
    <row r="822">
      <c r="E822" s="62"/>
      <c r="J822" s="62"/>
    </row>
    <row r="823">
      <c r="E823" s="62"/>
      <c r="J823" s="62"/>
    </row>
    <row r="824">
      <c r="E824" s="62"/>
      <c r="J824" s="62"/>
    </row>
    <row r="825">
      <c r="E825" s="62"/>
      <c r="J825" s="62"/>
    </row>
    <row r="826">
      <c r="E826" s="62"/>
      <c r="J826" s="62"/>
    </row>
    <row r="827">
      <c r="E827" s="62"/>
      <c r="J827" s="62"/>
    </row>
    <row r="828">
      <c r="E828" s="62"/>
      <c r="J828" s="62"/>
    </row>
    <row r="829">
      <c r="E829" s="62"/>
      <c r="J829" s="62"/>
    </row>
    <row r="830">
      <c r="E830" s="62"/>
      <c r="J830" s="62"/>
    </row>
    <row r="831">
      <c r="E831" s="62"/>
      <c r="J831" s="62"/>
    </row>
    <row r="832">
      <c r="E832" s="62"/>
      <c r="J832" s="62"/>
    </row>
    <row r="833">
      <c r="E833" s="62"/>
      <c r="J833" s="62"/>
    </row>
    <row r="834">
      <c r="E834" s="62"/>
      <c r="J834" s="62"/>
    </row>
    <row r="835">
      <c r="E835" s="62"/>
      <c r="J835" s="62"/>
    </row>
    <row r="836">
      <c r="E836" s="62"/>
      <c r="J836" s="62"/>
    </row>
    <row r="837">
      <c r="E837" s="62"/>
      <c r="J837" s="62"/>
    </row>
    <row r="838">
      <c r="E838" s="62"/>
      <c r="J838" s="62"/>
    </row>
    <row r="839">
      <c r="E839" s="62"/>
      <c r="J839" s="62"/>
    </row>
    <row r="840">
      <c r="E840" s="62"/>
      <c r="J840" s="62"/>
    </row>
    <row r="841">
      <c r="E841" s="62"/>
      <c r="J841" s="62"/>
    </row>
    <row r="842">
      <c r="E842" s="62"/>
      <c r="J842" s="62"/>
    </row>
    <row r="843">
      <c r="E843" s="62"/>
      <c r="J843" s="62"/>
    </row>
    <row r="844">
      <c r="E844" s="62"/>
      <c r="J844" s="62"/>
    </row>
    <row r="845">
      <c r="E845" s="62"/>
      <c r="J845" s="62"/>
    </row>
    <row r="846">
      <c r="E846" s="62"/>
      <c r="J846" s="62"/>
    </row>
    <row r="847">
      <c r="E847" s="62"/>
      <c r="J847" s="62"/>
    </row>
    <row r="848">
      <c r="E848" s="62"/>
      <c r="J848" s="62"/>
    </row>
    <row r="849">
      <c r="E849" s="62"/>
      <c r="J849" s="62"/>
    </row>
    <row r="850">
      <c r="E850" s="62"/>
      <c r="J850" s="62"/>
    </row>
    <row r="851">
      <c r="E851" s="62"/>
      <c r="J851" s="62"/>
    </row>
    <row r="852">
      <c r="E852" s="62"/>
      <c r="J852" s="62"/>
    </row>
    <row r="853">
      <c r="E853" s="62"/>
      <c r="J853" s="62"/>
    </row>
    <row r="854">
      <c r="E854" s="62"/>
      <c r="J854" s="62"/>
    </row>
    <row r="855">
      <c r="E855" s="62"/>
      <c r="J855" s="62"/>
    </row>
    <row r="856">
      <c r="E856" s="62"/>
      <c r="J856" s="62"/>
    </row>
    <row r="857">
      <c r="E857" s="62"/>
      <c r="J857" s="62"/>
    </row>
    <row r="858">
      <c r="E858" s="62"/>
      <c r="J858" s="62"/>
    </row>
    <row r="859">
      <c r="E859" s="62"/>
      <c r="J859" s="62"/>
    </row>
    <row r="860">
      <c r="E860" s="62"/>
      <c r="J860" s="62"/>
    </row>
    <row r="861">
      <c r="E861" s="62"/>
      <c r="J861" s="62"/>
    </row>
    <row r="862">
      <c r="E862" s="62"/>
      <c r="J862" s="62"/>
    </row>
    <row r="863">
      <c r="E863" s="62"/>
      <c r="J863" s="62"/>
    </row>
    <row r="864">
      <c r="E864" s="62"/>
      <c r="J864" s="62"/>
    </row>
    <row r="865">
      <c r="E865" s="62"/>
      <c r="J865" s="62"/>
    </row>
    <row r="866">
      <c r="E866" s="62"/>
      <c r="J866" s="62"/>
    </row>
    <row r="867">
      <c r="E867" s="62"/>
      <c r="J867" s="62"/>
    </row>
    <row r="868">
      <c r="E868" s="62"/>
      <c r="J868" s="62"/>
    </row>
    <row r="869">
      <c r="E869" s="62"/>
      <c r="J869" s="62"/>
    </row>
    <row r="870">
      <c r="E870" s="62"/>
      <c r="J870" s="62"/>
    </row>
    <row r="871">
      <c r="E871" s="62"/>
      <c r="J871" s="62"/>
    </row>
    <row r="872">
      <c r="E872" s="62"/>
      <c r="J872" s="62"/>
    </row>
    <row r="873">
      <c r="E873" s="62"/>
      <c r="J873" s="62"/>
    </row>
    <row r="874">
      <c r="E874" s="62"/>
      <c r="J874" s="62"/>
    </row>
    <row r="875">
      <c r="E875" s="62"/>
      <c r="J875" s="62"/>
    </row>
    <row r="876">
      <c r="E876" s="62"/>
      <c r="J876" s="62"/>
    </row>
    <row r="877">
      <c r="E877" s="62"/>
      <c r="J877" s="62"/>
    </row>
    <row r="878">
      <c r="E878" s="62"/>
      <c r="J878" s="62"/>
    </row>
    <row r="879">
      <c r="E879" s="62"/>
      <c r="J879" s="62"/>
    </row>
    <row r="880">
      <c r="E880" s="62"/>
      <c r="J880" s="62"/>
    </row>
    <row r="881">
      <c r="E881" s="62"/>
      <c r="J881" s="62"/>
    </row>
    <row r="882">
      <c r="E882" s="62"/>
      <c r="J882" s="62"/>
    </row>
    <row r="883">
      <c r="E883" s="62"/>
      <c r="J883" s="62"/>
    </row>
    <row r="884">
      <c r="E884" s="62"/>
      <c r="J884" s="62"/>
    </row>
    <row r="885">
      <c r="E885" s="62"/>
      <c r="J885" s="62"/>
    </row>
    <row r="886">
      <c r="E886" s="62"/>
      <c r="J886" s="62"/>
    </row>
    <row r="887">
      <c r="E887" s="62"/>
      <c r="J887" s="62"/>
    </row>
    <row r="888">
      <c r="E888" s="62"/>
      <c r="J888" s="62"/>
    </row>
    <row r="889">
      <c r="E889" s="62"/>
      <c r="J889" s="62"/>
    </row>
    <row r="890">
      <c r="E890" s="62"/>
      <c r="J890" s="62"/>
    </row>
    <row r="891">
      <c r="E891" s="62"/>
      <c r="J891" s="62"/>
    </row>
    <row r="892">
      <c r="E892" s="62"/>
      <c r="J892" s="62"/>
    </row>
    <row r="893">
      <c r="E893" s="62"/>
      <c r="J893" s="62"/>
    </row>
    <row r="894">
      <c r="E894" s="62"/>
      <c r="J894" s="62"/>
    </row>
    <row r="895">
      <c r="E895" s="62"/>
      <c r="J895" s="62"/>
    </row>
    <row r="896">
      <c r="E896" s="62"/>
      <c r="J896" s="62"/>
    </row>
    <row r="897">
      <c r="E897" s="62"/>
      <c r="J897" s="62"/>
    </row>
    <row r="898">
      <c r="E898" s="62"/>
      <c r="J898" s="62"/>
    </row>
    <row r="899">
      <c r="E899" s="62"/>
      <c r="J899" s="62"/>
    </row>
    <row r="900">
      <c r="E900" s="62"/>
      <c r="J900" s="62"/>
    </row>
    <row r="901">
      <c r="E901" s="62"/>
      <c r="J901" s="62"/>
    </row>
    <row r="902">
      <c r="E902" s="62"/>
      <c r="J902" s="62"/>
    </row>
    <row r="903">
      <c r="E903" s="62"/>
      <c r="J903" s="62"/>
    </row>
    <row r="904">
      <c r="E904" s="62"/>
      <c r="J904" s="62"/>
    </row>
    <row r="905">
      <c r="E905" s="62"/>
      <c r="J905" s="62"/>
    </row>
    <row r="906">
      <c r="E906" s="62"/>
      <c r="J906" s="62"/>
    </row>
    <row r="907">
      <c r="E907" s="62"/>
      <c r="J907" s="62"/>
    </row>
    <row r="908">
      <c r="E908" s="62"/>
      <c r="J908" s="62"/>
    </row>
    <row r="909">
      <c r="E909" s="62"/>
      <c r="J909" s="62"/>
    </row>
    <row r="910">
      <c r="E910" s="62"/>
      <c r="J910" s="62"/>
    </row>
    <row r="911">
      <c r="E911" s="62"/>
      <c r="J911" s="62"/>
    </row>
    <row r="912">
      <c r="E912" s="62"/>
      <c r="J912" s="62"/>
    </row>
    <row r="913">
      <c r="E913" s="62"/>
      <c r="J913" s="62"/>
    </row>
    <row r="914">
      <c r="E914" s="62"/>
      <c r="J914" s="62"/>
    </row>
    <row r="915">
      <c r="E915" s="62"/>
      <c r="J915" s="62"/>
    </row>
    <row r="916">
      <c r="E916" s="62"/>
      <c r="J916" s="62"/>
    </row>
    <row r="917">
      <c r="E917" s="62"/>
      <c r="J917" s="62"/>
    </row>
    <row r="918">
      <c r="E918" s="62"/>
      <c r="J918" s="62"/>
    </row>
    <row r="919">
      <c r="E919" s="62"/>
      <c r="J919" s="62"/>
    </row>
    <row r="920">
      <c r="E920" s="62"/>
      <c r="J920" s="62"/>
    </row>
    <row r="921">
      <c r="E921" s="62"/>
      <c r="J921" s="62"/>
    </row>
    <row r="922">
      <c r="E922" s="62"/>
      <c r="J922" s="62"/>
    </row>
    <row r="923">
      <c r="E923" s="62"/>
      <c r="J923" s="62"/>
    </row>
    <row r="924">
      <c r="E924" s="62"/>
      <c r="J924" s="62"/>
    </row>
    <row r="925">
      <c r="E925" s="62"/>
      <c r="J925" s="62"/>
    </row>
    <row r="926">
      <c r="E926" s="62"/>
      <c r="J926" s="62"/>
    </row>
    <row r="927">
      <c r="E927" s="62"/>
      <c r="J927" s="62"/>
    </row>
    <row r="928">
      <c r="E928" s="62"/>
      <c r="J928" s="62"/>
    </row>
    <row r="929">
      <c r="E929" s="62"/>
      <c r="J929" s="62"/>
    </row>
    <row r="930">
      <c r="E930" s="62"/>
      <c r="J930" s="62"/>
    </row>
    <row r="931">
      <c r="E931" s="62"/>
      <c r="J931" s="62"/>
    </row>
    <row r="932">
      <c r="E932" s="62"/>
      <c r="J932" s="62"/>
    </row>
    <row r="933">
      <c r="E933" s="62"/>
      <c r="J933" s="62"/>
    </row>
    <row r="934">
      <c r="E934" s="62"/>
      <c r="J934" s="62"/>
    </row>
    <row r="935">
      <c r="E935" s="62"/>
      <c r="J935" s="62"/>
    </row>
    <row r="936">
      <c r="E936" s="62"/>
      <c r="J936" s="62"/>
    </row>
    <row r="937">
      <c r="E937" s="62"/>
      <c r="J937" s="62"/>
    </row>
    <row r="938">
      <c r="E938" s="62"/>
      <c r="J938" s="62"/>
    </row>
    <row r="939">
      <c r="E939" s="62"/>
      <c r="J939" s="62"/>
    </row>
    <row r="940">
      <c r="E940" s="62"/>
      <c r="J940" s="62"/>
    </row>
    <row r="941">
      <c r="E941" s="62"/>
      <c r="J941" s="62"/>
    </row>
    <row r="942">
      <c r="E942" s="62"/>
      <c r="J942" s="62"/>
    </row>
    <row r="943">
      <c r="E943" s="62"/>
      <c r="J943" s="62"/>
    </row>
    <row r="944">
      <c r="E944" s="62"/>
      <c r="J944" s="62"/>
    </row>
    <row r="945">
      <c r="E945" s="62"/>
      <c r="J945" s="62"/>
    </row>
    <row r="946">
      <c r="E946" s="62"/>
      <c r="J946" s="62"/>
    </row>
    <row r="947">
      <c r="E947" s="62"/>
      <c r="J947" s="62"/>
    </row>
    <row r="948">
      <c r="E948" s="62"/>
      <c r="J948" s="62"/>
    </row>
    <row r="949">
      <c r="E949" s="62"/>
      <c r="J949" s="62"/>
    </row>
    <row r="950">
      <c r="E950" s="62"/>
      <c r="J950" s="62"/>
    </row>
    <row r="951">
      <c r="E951" s="62"/>
      <c r="J951" s="62"/>
    </row>
    <row r="952">
      <c r="E952" s="62"/>
      <c r="J952" s="62"/>
    </row>
    <row r="953">
      <c r="E953" s="62"/>
      <c r="J953" s="62"/>
    </row>
    <row r="954">
      <c r="E954" s="62"/>
      <c r="J954" s="62"/>
    </row>
    <row r="955">
      <c r="E955" s="62"/>
      <c r="J955" s="62"/>
    </row>
    <row r="956">
      <c r="E956" s="62"/>
      <c r="J956" s="62"/>
    </row>
    <row r="957">
      <c r="E957" s="62"/>
      <c r="J957" s="62"/>
    </row>
    <row r="958">
      <c r="E958" s="62"/>
      <c r="J958" s="62"/>
    </row>
    <row r="959">
      <c r="E959" s="62"/>
      <c r="J959" s="62"/>
    </row>
    <row r="960">
      <c r="E960" s="62"/>
      <c r="J960" s="62"/>
    </row>
    <row r="961">
      <c r="E961" s="62"/>
      <c r="J961" s="62"/>
    </row>
    <row r="962">
      <c r="E962" s="62"/>
      <c r="J962" s="62"/>
    </row>
    <row r="963">
      <c r="E963" s="62"/>
      <c r="J963" s="62"/>
    </row>
    <row r="964">
      <c r="E964" s="62"/>
      <c r="J964" s="62"/>
    </row>
    <row r="965">
      <c r="E965" s="62"/>
      <c r="J965" s="62"/>
    </row>
    <row r="966">
      <c r="E966" s="62"/>
      <c r="J966" s="62"/>
    </row>
    <row r="967">
      <c r="E967" s="62"/>
      <c r="J967" s="62"/>
    </row>
    <row r="968">
      <c r="E968" s="62"/>
      <c r="J968" s="62"/>
    </row>
    <row r="969">
      <c r="E969" s="62"/>
      <c r="J969" s="62"/>
    </row>
    <row r="970">
      <c r="E970" s="62"/>
      <c r="J970" s="62"/>
    </row>
    <row r="971">
      <c r="E971" s="62"/>
      <c r="J971" s="62"/>
    </row>
    <row r="972">
      <c r="E972" s="62"/>
      <c r="J972" s="62"/>
    </row>
    <row r="973">
      <c r="E973" s="62"/>
      <c r="J973" s="62"/>
    </row>
    <row r="974">
      <c r="E974" s="62"/>
      <c r="J974" s="62"/>
    </row>
    <row r="975">
      <c r="E975" s="62"/>
      <c r="J975" s="62"/>
    </row>
    <row r="976">
      <c r="E976" s="62"/>
      <c r="J976" s="62"/>
    </row>
    <row r="977">
      <c r="E977" s="62"/>
      <c r="J977" s="62"/>
    </row>
    <row r="978">
      <c r="E978" s="62"/>
      <c r="J978" s="62"/>
    </row>
    <row r="979">
      <c r="E979" s="62"/>
      <c r="J979" s="62"/>
    </row>
    <row r="980">
      <c r="E980" s="62"/>
      <c r="J980" s="62"/>
    </row>
    <row r="981">
      <c r="E981" s="62"/>
      <c r="J981" s="62"/>
    </row>
    <row r="982">
      <c r="E982" s="62"/>
      <c r="J982" s="62"/>
    </row>
    <row r="983">
      <c r="E983" s="62"/>
      <c r="J983" s="62"/>
    </row>
    <row r="984">
      <c r="E984" s="62"/>
      <c r="J984" s="62"/>
    </row>
    <row r="985">
      <c r="E985" s="62"/>
      <c r="J985" s="62"/>
    </row>
    <row r="986">
      <c r="E986" s="62"/>
      <c r="J986" s="62"/>
    </row>
    <row r="987">
      <c r="E987" s="62"/>
      <c r="J987" s="62"/>
    </row>
    <row r="988">
      <c r="E988" s="62"/>
      <c r="J988" s="62"/>
    </row>
    <row r="989">
      <c r="E989" s="62"/>
      <c r="J989" s="62"/>
    </row>
    <row r="990">
      <c r="E990" s="62"/>
      <c r="J990" s="62"/>
    </row>
    <row r="991">
      <c r="E991" s="62"/>
      <c r="J991" s="62"/>
    </row>
    <row r="992">
      <c r="E992" s="62"/>
      <c r="J992" s="62"/>
    </row>
    <row r="993">
      <c r="E993" s="62"/>
      <c r="J993" s="62"/>
    </row>
    <row r="994">
      <c r="E994" s="62"/>
      <c r="J994" s="62"/>
    </row>
    <row r="995">
      <c r="E995" s="62"/>
      <c r="J995" s="62"/>
    </row>
    <row r="996">
      <c r="E996" s="62"/>
      <c r="J996" s="62"/>
    </row>
    <row r="997">
      <c r="E997" s="62"/>
      <c r="J997" s="62"/>
    </row>
    <row r="998">
      <c r="E998" s="62"/>
      <c r="J998" s="62"/>
    </row>
    <row r="999">
      <c r="E999" s="62"/>
      <c r="J999" s="62"/>
    </row>
  </sheetData>
  <mergeCells count="4">
    <mergeCell ref="A1:D1"/>
    <mergeCell ref="F1:I1"/>
    <mergeCell ref="K1:N1"/>
    <mergeCell ref="A30:D3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2" width="36.5"/>
    <col customWidth="1" min="3" max="3" width="8.63"/>
    <col customWidth="1" min="4" max="4" width="21.0"/>
    <col customWidth="1" min="5" max="5" width="20.63"/>
    <col customWidth="1" min="6" max="6" width="6.0"/>
    <col customWidth="1" min="7" max="7" width="5.63"/>
    <col customWidth="1" min="8" max="8" width="16.63"/>
    <col customWidth="1" min="9" max="9" width="27.5"/>
    <col customWidth="1" min="10" max="10" width="12.13"/>
    <col customWidth="1" min="11" max="11" width="10.0"/>
    <col customWidth="1" min="12" max="12" width="4.63"/>
    <col customWidth="1" min="13" max="13" width="9.13"/>
    <col customWidth="1" min="14" max="14" width="9.5"/>
    <col customWidth="1" min="15" max="15" width="9.63"/>
  </cols>
  <sheetData>
    <row r="1">
      <c r="A1" s="1" t="s">
        <v>1466</v>
      </c>
      <c r="B1" s="1" t="s">
        <v>0</v>
      </c>
      <c r="C1" s="1" t="s">
        <v>1</v>
      </c>
      <c r="D1" s="1" t="s">
        <v>2</v>
      </c>
      <c r="E1" s="1" t="s">
        <v>3</v>
      </c>
      <c r="F1" s="1" t="s">
        <v>4</v>
      </c>
      <c r="G1" s="1" t="s">
        <v>5</v>
      </c>
      <c r="H1" s="1" t="s">
        <v>6</v>
      </c>
      <c r="I1" s="1" t="s">
        <v>7</v>
      </c>
      <c r="J1" s="1" t="s">
        <v>8</v>
      </c>
      <c r="K1" s="1" t="s">
        <v>9</v>
      </c>
      <c r="L1" s="1" t="s">
        <v>10</v>
      </c>
      <c r="M1" s="1" t="s">
        <v>11</v>
      </c>
      <c r="N1" s="1" t="s">
        <v>12</v>
      </c>
      <c r="O1" s="1" t="s">
        <v>13</v>
      </c>
      <c r="P1" s="3" t="s">
        <v>1467</v>
      </c>
      <c r="Q1" s="3" t="s">
        <v>1468</v>
      </c>
    </row>
    <row r="2">
      <c r="A2" s="3" t="s">
        <v>1469</v>
      </c>
      <c r="B2" s="3" t="s">
        <v>325</v>
      </c>
      <c r="C2" s="3">
        <v>2020.0</v>
      </c>
      <c r="D2" s="3" t="s">
        <v>161</v>
      </c>
      <c r="E2" s="3" t="s">
        <v>608</v>
      </c>
      <c r="G2" s="3" t="s">
        <v>22</v>
      </c>
      <c r="H2" s="3" t="s">
        <v>163</v>
      </c>
      <c r="I2" s="3" t="s">
        <v>164</v>
      </c>
      <c r="J2" s="4">
        <v>2022.0</v>
      </c>
      <c r="K2" s="3">
        <v>2025.0</v>
      </c>
      <c r="L2" s="6">
        <v>44685.0</v>
      </c>
      <c r="M2" s="3">
        <v>21.0</v>
      </c>
      <c r="N2" s="3" t="s">
        <v>118</v>
      </c>
      <c r="O2" s="10">
        <v>44888.0</v>
      </c>
      <c r="P2" s="3">
        <v>3.0</v>
      </c>
      <c r="Q2" s="3">
        <v>60.0</v>
      </c>
    </row>
    <row r="3">
      <c r="A3" s="3" t="s">
        <v>1470</v>
      </c>
      <c r="B3" s="3" t="s">
        <v>345</v>
      </c>
      <c r="C3" s="9" t="s">
        <v>1471</v>
      </c>
      <c r="D3" s="3" t="s">
        <v>243</v>
      </c>
      <c r="E3" s="3" t="s">
        <v>346</v>
      </c>
      <c r="G3" s="3" t="s">
        <v>22</v>
      </c>
      <c r="H3" s="3" t="s">
        <v>129</v>
      </c>
      <c r="I3" s="3" t="s">
        <v>93</v>
      </c>
      <c r="J3" s="84" t="s">
        <v>1472</v>
      </c>
      <c r="K3" s="9" t="s">
        <v>1473</v>
      </c>
      <c r="L3" s="9" t="s">
        <v>1474</v>
      </c>
      <c r="M3" s="9" t="s">
        <v>1475</v>
      </c>
      <c r="N3" s="3" t="s">
        <v>118</v>
      </c>
      <c r="O3" s="9" t="s">
        <v>1476</v>
      </c>
      <c r="P3" s="3">
        <v>2.0</v>
      </c>
      <c r="Q3" s="3">
        <v>40.0</v>
      </c>
    </row>
    <row r="4">
      <c r="A4" s="3" t="s">
        <v>1477</v>
      </c>
      <c r="B4" s="3" t="s">
        <v>932</v>
      </c>
      <c r="C4" s="3">
        <v>2016.0</v>
      </c>
      <c r="D4" s="3" t="s">
        <v>933</v>
      </c>
      <c r="E4" s="3" t="s">
        <v>934</v>
      </c>
      <c r="F4" s="3" t="s">
        <v>128</v>
      </c>
      <c r="G4" s="3" t="s">
        <v>29</v>
      </c>
      <c r="H4" s="3" t="s">
        <v>129</v>
      </c>
      <c r="I4" s="3" t="s">
        <v>250</v>
      </c>
      <c r="J4" s="4">
        <v>2019.0</v>
      </c>
      <c r="K4" s="3">
        <v>2031.0</v>
      </c>
      <c r="L4" s="6">
        <v>43588.0</v>
      </c>
      <c r="M4" s="3">
        <v>27.0</v>
      </c>
      <c r="N4" s="3" t="s">
        <v>118</v>
      </c>
      <c r="O4" s="7">
        <v>43436.0</v>
      </c>
      <c r="P4" s="3">
        <v>2.0</v>
      </c>
      <c r="Q4" s="3">
        <v>60.0</v>
      </c>
    </row>
    <row r="5">
      <c r="A5" s="85"/>
      <c r="B5" s="3" t="s">
        <v>941</v>
      </c>
      <c r="C5" s="3">
        <v>2016.0</v>
      </c>
      <c r="D5" s="3" t="s">
        <v>847</v>
      </c>
      <c r="E5" s="3" t="s">
        <v>942</v>
      </c>
      <c r="G5" s="3" t="s">
        <v>29</v>
      </c>
      <c r="H5" s="3" t="s">
        <v>71</v>
      </c>
      <c r="I5" s="3" t="s">
        <v>943</v>
      </c>
      <c r="J5" s="4">
        <v>2021.0</v>
      </c>
      <c r="K5" s="3">
        <v>2031.0</v>
      </c>
      <c r="L5" s="6">
        <v>44685.0</v>
      </c>
      <c r="M5" s="3">
        <v>12.0</v>
      </c>
      <c r="N5" s="3" t="s">
        <v>118</v>
      </c>
      <c r="O5" s="7">
        <v>44640.0</v>
      </c>
      <c r="P5" s="3">
        <v>3.0</v>
      </c>
      <c r="Q5" s="85">
        <v>45.0</v>
      </c>
    </row>
    <row r="6">
      <c r="A6" s="86" t="s">
        <v>1478</v>
      </c>
      <c r="B6" s="87" t="s">
        <v>1479</v>
      </c>
      <c r="C6" s="3"/>
      <c r="D6" s="3"/>
      <c r="G6" s="3"/>
      <c r="H6" s="3"/>
      <c r="I6" s="3"/>
      <c r="J6" s="3"/>
      <c r="K6" s="3"/>
      <c r="L6" s="6"/>
      <c r="M6" s="3"/>
      <c r="N6" s="3"/>
      <c r="O6" s="7"/>
      <c r="P6" s="3"/>
      <c r="Q6" s="3"/>
    </row>
    <row r="7">
      <c r="A7" s="86" t="s">
        <v>1480</v>
      </c>
      <c r="B7" s="87" t="s">
        <v>1481</v>
      </c>
      <c r="C7" s="3"/>
      <c r="D7" s="3"/>
      <c r="G7" s="3"/>
      <c r="H7" s="3"/>
      <c r="I7" s="3"/>
      <c r="J7" s="3"/>
      <c r="K7" s="3"/>
      <c r="L7" s="6"/>
      <c r="M7" s="3"/>
      <c r="N7" s="3"/>
      <c r="O7" s="7"/>
      <c r="P7" s="3"/>
      <c r="Q7" s="3"/>
    </row>
    <row r="8">
      <c r="A8" s="86" t="s">
        <v>1482</v>
      </c>
      <c r="B8" s="87" t="s">
        <v>1483</v>
      </c>
      <c r="C8" s="3"/>
      <c r="D8" s="3"/>
      <c r="G8" s="3"/>
      <c r="H8" s="3"/>
      <c r="I8" s="3"/>
      <c r="J8" s="3"/>
      <c r="K8" s="3"/>
      <c r="L8" s="6"/>
      <c r="M8" s="3"/>
      <c r="N8" s="3"/>
      <c r="O8" s="7"/>
      <c r="P8" s="3"/>
      <c r="Q8" s="3"/>
    </row>
    <row r="9">
      <c r="A9" s="3" t="s">
        <v>1484</v>
      </c>
      <c r="B9" s="3" t="s">
        <v>1220</v>
      </c>
      <c r="C9" s="3">
        <v>2019.0</v>
      </c>
      <c r="D9" s="3" t="s">
        <v>1082</v>
      </c>
      <c r="G9" s="3" t="s">
        <v>29</v>
      </c>
      <c r="H9" s="3" t="s">
        <v>44</v>
      </c>
      <c r="I9" s="3" t="s">
        <v>1083</v>
      </c>
      <c r="J9" s="3">
        <v>2024.0</v>
      </c>
      <c r="K9" s="3">
        <v>2049.0</v>
      </c>
      <c r="L9" s="6">
        <v>44685.0</v>
      </c>
      <c r="M9" s="3">
        <v>48.0</v>
      </c>
      <c r="N9" s="3" t="s">
        <v>118</v>
      </c>
      <c r="O9" s="7">
        <v>44640.0</v>
      </c>
      <c r="P9" s="3">
        <v>2.0</v>
      </c>
      <c r="Q9" s="3">
        <v>100.0</v>
      </c>
    </row>
    <row r="10">
      <c r="A10" s="3" t="s">
        <v>1485</v>
      </c>
      <c r="B10" s="3" t="s">
        <v>879</v>
      </c>
      <c r="C10" s="9" t="s">
        <v>1486</v>
      </c>
      <c r="D10" s="3" t="s">
        <v>811</v>
      </c>
      <c r="E10" s="3" t="s">
        <v>880</v>
      </c>
      <c r="G10" s="3" t="s">
        <v>29</v>
      </c>
      <c r="H10" s="3" t="s">
        <v>154</v>
      </c>
      <c r="I10" s="3" t="s">
        <v>785</v>
      </c>
      <c r="J10" s="84" t="s">
        <v>1487</v>
      </c>
      <c r="K10" s="9" t="s">
        <v>1488</v>
      </c>
      <c r="L10" s="9" t="s">
        <v>1474</v>
      </c>
      <c r="M10" s="9" t="s">
        <v>1489</v>
      </c>
      <c r="N10" s="3" t="s">
        <v>118</v>
      </c>
      <c r="O10" s="9" t="s">
        <v>1490</v>
      </c>
      <c r="P10" s="3">
        <v>2.0</v>
      </c>
      <c r="Q10" s="3">
        <v>50.0</v>
      </c>
    </row>
    <row r="11">
      <c r="A11" s="85"/>
      <c r="B11" s="3" t="s">
        <v>552</v>
      </c>
      <c r="C11" s="3">
        <v>2017.0</v>
      </c>
      <c r="D11" s="3" t="s">
        <v>254</v>
      </c>
      <c r="E11" s="3" t="s">
        <v>553</v>
      </c>
      <c r="F11" s="3" t="s">
        <v>128</v>
      </c>
      <c r="G11" s="3" t="s">
        <v>29</v>
      </c>
      <c r="H11" s="3" t="s">
        <v>129</v>
      </c>
      <c r="I11" s="3" t="s">
        <v>250</v>
      </c>
      <c r="J11" s="4">
        <v>2020.0</v>
      </c>
      <c r="K11" s="3">
        <v>2025.0</v>
      </c>
      <c r="L11" s="6">
        <v>43588.0</v>
      </c>
      <c r="M11" s="3">
        <v>23.0</v>
      </c>
      <c r="N11" s="3" t="s">
        <v>118</v>
      </c>
      <c r="O11" s="7">
        <v>43436.0</v>
      </c>
      <c r="P11" s="3">
        <v>2.0</v>
      </c>
      <c r="Q11" s="85">
        <v>50.0</v>
      </c>
    </row>
    <row r="12">
      <c r="A12" s="86" t="s">
        <v>1491</v>
      </c>
      <c r="B12" s="3" t="s">
        <v>962</v>
      </c>
      <c r="D12" s="3" t="s">
        <v>1492</v>
      </c>
    </row>
    <row r="13">
      <c r="P13">
        <f t="shared" ref="P13:Q13" si="1">SUM(P2:P11)</f>
        <v>16</v>
      </c>
      <c r="Q13">
        <f t="shared" si="1"/>
        <v>405</v>
      </c>
      <c r="R13" s="3">
        <v>-95.0</v>
      </c>
      <c r="S13">
        <f>SUM(Q13:R13)</f>
        <v>310</v>
      </c>
    </row>
    <row r="14">
      <c r="A14" s="88"/>
      <c r="B14" s="3" t="s">
        <v>1493</v>
      </c>
    </row>
    <row r="15">
      <c r="A15" s="3" t="s">
        <v>1494</v>
      </c>
      <c r="B15" s="3" t="s">
        <v>1495</v>
      </c>
    </row>
    <row r="16">
      <c r="A16" s="3" t="s">
        <v>1496</v>
      </c>
      <c r="B16" s="3" t="s">
        <v>417</v>
      </c>
    </row>
    <row r="17">
      <c r="A17" s="3" t="s">
        <v>1497</v>
      </c>
      <c r="B17" s="3" t="s">
        <v>1498</v>
      </c>
    </row>
    <row r="19">
      <c r="G19" s="1" t="s">
        <v>1499</v>
      </c>
    </row>
    <row r="20">
      <c r="C20" s="3" t="s">
        <v>1497</v>
      </c>
      <c r="D20" s="3" t="s">
        <v>1500</v>
      </c>
      <c r="G20" s="3" t="s">
        <v>1501</v>
      </c>
      <c r="H20" s="87" t="s">
        <v>1502</v>
      </c>
    </row>
    <row r="21">
      <c r="C21" s="3" t="s">
        <v>1477</v>
      </c>
      <c r="D21" s="3" t="s">
        <v>933</v>
      </c>
      <c r="F21" s="89" t="s">
        <v>1503</v>
      </c>
      <c r="G21" s="3" t="s">
        <v>1504</v>
      </c>
      <c r="H21" s="87" t="s">
        <v>1505</v>
      </c>
    </row>
    <row r="22">
      <c r="C22" s="3" t="s">
        <v>1470</v>
      </c>
      <c r="D22" s="3" t="s">
        <v>1506</v>
      </c>
      <c r="G22" s="3" t="s">
        <v>1507</v>
      </c>
      <c r="H22" s="87" t="s">
        <v>1508</v>
      </c>
    </row>
    <row r="23">
      <c r="C23" s="3" t="s">
        <v>1485</v>
      </c>
      <c r="D23" s="3" t="s">
        <v>1509</v>
      </c>
      <c r="G23" s="3" t="s">
        <v>1510</v>
      </c>
      <c r="H23" s="87" t="s">
        <v>1511</v>
      </c>
    </row>
    <row r="24">
      <c r="C24" s="3" t="s">
        <v>1469</v>
      </c>
      <c r="D24" s="3" t="s">
        <v>1512</v>
      </c>
      <c r="F24" s="89" t="s">
        <v>1513</v>
      </c>
      <c r="G24" s="3" t="s">
        <v>1514</v>
      </c>
      <c r="H24" s="87" t="s">
        <v>1515</v>
      </c>
    </row>
    <row r="25">
      <c r="C25" s="3" t="s">
        <v>1484</v>
      </c>
      <c r="D25" s="3" t="s">
        <v>1082</v>
      </c>
      <c r="F25" s="89" t="s">
        <v>1503</v>
      </c>
      <c r="G25" s="3" t="s">
        <v>1516</v>
      </c>
      <c r="H25" s="87" t="s">
        <v>1517</v>
      </c>
    </row>
    <row r="26">
      <c r="C26" s="3" t="s">
        <v>1496</v>
      </c>
      <c r="D26" s="3" t="s">
        <v>1500</v>
      </c>
      <c r="G26" s="3" t="s">
        <v>1518</v>
      </c>
      <c r="H26" s="87" t="s">
        <v>1519</v>
      </c>
    </row>
    <row r="27">
      <c r="C27" s="3" t="s">
        <v>1491</v>
      </c>
      <c r="D27" s="3" t="s">
        <v>254</v>
      </c>
      <c r="G27" s="3" t="s">
        <v>1520</v>
      </c>
      <c r="H27" s="87" t="s">
        <v>1521</v>
      </c>
    </row>
    <row r="28">
      <c r="C28" s="3" t="s">
        <v>1482</v>
      </c>
      <c r="D28" s="3" t="s">
        <v>847</v>
      </c>
      <c r="F28" s="89" t="s">
        <v>1513</v>
      </c>
      <c r="G28" s="86" t="s">
        <v>1522</v>
      </c>
      <c r="H28" s="87" t="s">
        <v>1523</v>
      </c>
    </row>
    <row r="29">
      <c r="C29" s="3" t="s">
        <v>1494</v>
      </c>
      <c r="D29" s="3" t="s">
        <v>1500</v>
      </c>
      <c r="F29" s="3" t="s">
        <v>1524</v>
      </c>
      <c r="G29" s="3" t="s">
        <v>1525</v>
      </c>
      <c r="H29" s="87" t="s">
        <v>1526</v>
      </c>
    </row>
    <row r="30">
      <c r="C30" s="3" t="s">
        <v>1478</v>
      </c>
      <c r="D30" s="3" t="s">
        <v>847</v>
      </c>
      <c r="F30" s="89" t="s">
        <v>1503</v>
      </c>
      <c r="G30" s="3" t="s">
        <v>1527</v>
      </c>
      <c r="H30" s="87" t="s">
        <v>1528</v>
      </c>
    </row>
    <row r="31">
      <c r="C31" s="3" t="s">
        <v>1480</v>
      </c>
      <c r="D31" s="3" t="s">
        <v>847</v>
      </c>
      <c r="G31" s="3" t="s">
        <v>1529</v>
      </c>
      <c r="H31" s="87" t="s">
        <v>1530</v>
      </c>
    </row>
    <row r="32">
      <c r="G32" s="3" t="s">
        <v>1531</v>
      </c>
      <c r="H32" s="87" t="s">
        <v>1532</v>
      </c>
    </row>
  </sheetData>
  <hyperlinks>
    <hyperlink r:id="rId1" ref="B6"/>
    <hyperlink r:id="rId2" ref="B7"/>
    <hyperlink r:id="rId3" ref="B8"/>
    <hyperlink r:id="rId4" ref="H20"/>
    <hyperlink r:id="rId5" ref="H21"/>
    <hyperlink r:id="rId6" ref="H22"/>
    <hyperlink r:id="rId7" ref="H23"/>
    <hyperlink r:id="rId8" ref="H24"/>
    <hyperlink r:id="rId9" ref="H25"/>
    <hyperlink r:id="rId10" ref="H26"/>
    <hyperlink r:id="rId11" ref="H27"/>
    <hyperlink r:id="rId12" ref="H28"/>
    <hyperlink r:id="rId13" ref="H29"/>
    <hyperlink r:id="rId14" ref="H30"/>
    <hyperlink r:id="rId15" ref="H31"/>
    <hyperlink r:id="rId16" ref="H32"/>
  </hyperlinks>
  <drawing r:id="rId17"/>
</worksheet>
</file>